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BC8732-C621-41DB-BCB4-44E3AB1ECAA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WBS" sheetId="1" r:id="rId1"/>
    <sheet name="요약" sheetId="2" r:id="rId2"/>
  </sheets>
  <calcPr calcId="191029"/>
</workbook>
</file>

<file path=xl/calcChain.xml><?xml version="1.0" encoding="utf-8"?>
<calcChain xmlns="http://schemas.openxmlformats.org/spreadsheetml/2006/main">
  <c r="H4" i="2" l="1"/>
  <c r="G4" i="2"/>
  <c r="F4" i="2"/>
  <c r="E4" i="2"/>
  <c r="D4" i="2"/>
</calcChain>
</file>

<file path=xl/sharedStrings.xml><?xml version="1.0" encoding="utf-8"?>
<sst xmlns="http://schemas.openxmlformats.org/spreadsheetml/2006/main" count="353" uniqueCount="175">
  <si>
    <t>감정인식 프로젝트 WBS - 공동작업 및 전시 준비 반영</t>
  </si>
  <si>
    <t>기간: 2026.09.04 ~ 2026.09.18  |  공동 전처리·모델 학습·비교·Jetson/OpenCV 구현·전시 준비  |  전시 운영: RGB 컬러 모델</t>
  </si>
  <si>
    <t>WBS ID</t>
  </si>
  <si>
    <t>대분류</t>
  </si>
  <si>
    <t>세부 작업</t>
  </si>
  <si>
    <t>담당</t>
  </si>
  <si>
    <t>시작일</t>
  </si>
  <si>
    <t>종료일</t>
  </si>
  <si>
    <t>기간(일)</t>
  </si>
  <si>
    <t>상태</t>
  </si>
  <si>
    <t>산출물/비고</t>
  </si>
  <si>
    <t>1.1</t>
  </si>
  <si>
    <t>기획·환경</t>
  </si>
  <si>
    <t>프로젝트 공식 착수 및 주제·초기 역할 확정</t>
  </si>
  <si>
    <t>오석(팀장·총괄 조율) / 팀 전원</t>
  </si>
  <si>
    <t>완료</t>
  </si>
  <si>
    <t>공식 1차 회의 / 역할 정리 / 09.03 비공식 사전 논의 제외</t>
  </si>
  <si>
    <t>●</t>
  </si>
  <si>
    <t>1.2</t>
  </si>
  <si>
    <t>샘플 데이터 및 AI-Hub 본 데이터 구조·라벨·BBox 분석</t>
  </si>
  <si>
    <t>정준영(주) / 김범영(협업) / 오석(조율)</t>
  </si>
  <si>
    <t>7개 감정 클래스·데이터 구조·BBox·Train/Validation 분포 공동 확인</t>
  </si>
  <si>
    <t>1.3</t>
  </si>
  <si>
    <t>모델 후보·grayscale 적용 및 데이터 축소 방향 논의</t>
  </si>
  <si>
    <t>오석(팀장·조율) / 팀 전원</t>
  </si>
  <si>
    <t>초기 후보·비교 실험 방향 확정 / 회의 09.08</t>
  </si>
  <si>
    <t>1.4</t>
  </si>
  <si>
    <t>기획·문서</t>
  </si>
  <si>
    <t>수행계획서·WBS·요구사항명세서 정비</t>
  </si>
  <si>
    <t>정준영(문서 작성) / 오석·김범영(검토)</t>
  </si>
  <si>
    <t>수행계획서·WBS·요구사항명세서 / 09.16 최신 진행상황 반영</t>
  </si>
  <si>
    <t>1.5</t>
  </si>
  <si>
    <t>프로젝트 일지·회의록 최신 내용 반영 및 최종 정리</t>
  </si>
  <si>
    <t>정준영(기록) / 팀 전원(내용 확인)</t>
  </si>
  <si>
    <t>9/17 최종 프로젝트 일지 반영 / 공식 기록 09.04부터</t>
  </si>
  <si>
    <t>2.1</t>
  </si>
  <si>
    <t>데이터·전처리</t>
  </si>
  <si>
    <t>TRAIN_01+02 및 Validation 사용 범위 확정</t>
  </si>
  <si>
    <t>정준영·김범영(공동) / 오석(조율)</t>
  </si>
  <si>
    <t>Training은 4개 파트 중 2개 파트를 사용하기로 팀 합의 / 원천 보유 Train 223,578 · Valid 52,126</t>
  </si>
  <si>
    <t>2.2</t>
  </si>
  <si>
    <t>이미지-라벨 연결 및 데이터 품질·구조 검증</t>
  </si>
  <si>
    <t>정준영(주) / 김범영(공동) / 오석(조율)</t>
  </si>
  <si>
    <t>이미지-JSON 연결·품질 점검·재현성 확인</t>
  </si>
  <si>
    <t>2.3</t>
  </si>
  <si>
    <t>224×224 grayscale·RGB 전처리 및 학습 데이터 구성</t>
  </si>
  <si>
    <t>224×224 grayscale/RGB 데이터 구성 및 학습 입력 규칙 정리</t>
  </si>
  <si>
    <t>2.4</t>
  </si>
  <si>
    <t>전처리 품질 점검 및 입력 데이터 검증</t>
  </si>
  <si>
    <t>샘플 shape·라벨 연결·전처리 결과 검증</t>
  </si>
  <si>
    <t>2.5</t>
  </si>
  <si>
    <t>grayscale/RGB 비교 학습 준비</t>
  </si>
  <si>
    <t>흑백·컬러 입력 및 비교 학습 준비</t>
  </si>
  <si>
    <t>2.6</t>
  </si>
  <si>
    <t>전처리 재현성 강화 및 품질 개선</t>
  </si>
  <si>
    <t>김범영(주) / 정준영(협업) / 오석(조율)</t>
  </si>
  <si>
    <t>손상 JPG 16장 제외 후 Train 223,570 · Valid 52,118 / EXIF 83,308장 보정 / 종횡비 유지+검정 패딩 / 224×224 grayscale PNG / BBox 827,064개 변환</t>
  </si>
  <si>
    <t>3.1</t>
  </si>
  <si>
    <t>모델 학습</t>
  </si>
  <si>
    <t>모델 후보 사전 비교 및 학습 후보 확정</t>
  </si>
  <si>
    <t>정준영·김범영(공동) / 오석(선정 조율)</t>
  </si>
  <si>
    <t>MobileNetV2·MobileNetV3 Small·EfficientNetB0·ResNet18 후보를 검토하고 실험 흐름에 맞춰 비교</t>
  </si>
  <si>
    <t>3.2</t>
  </si>
  <si>
    <t>TensorFlow GPU 사용 검토 후 PyTorch/CUDA 학습 환경 구성</t>
  </si>
  <si>
    <t>정준영(주) / 김범영(환경·재현 협업) / 오석(조율)</t>
  </si>
  <si>
    <t>정준영 학습환경은 PyTorch 2.5.1+cu121로 전환 / 김범영 비교 실험은 Python 3.12.10·CUDA 12.6 환경으로 재현</t>
  </si>
  <si>
    <t>3.3</t>
  </si>
  <si>
    <t>사전학습 가중치 없이 처음부터 학습 및 약 14% 정체 원인 점검</t>
  </si>
  <si>
    <t>정준영(주) / 오석(진행 조율)</t>
  </si>
  <si>
    <t>초기 학습 정확도 약 14% 정체 / 데이터·코드 연결 점검</t>
  </si>
  <si>
    <t>3.4</t>
  </si>
  <si>
    <t>ImageNet 사전학습 가중치 적용 후 2차 학습</t>
  </si>
  <si>
    <t>MobileNetV3 Small·EfficientNetB0·ResNet18 2차 pretrained 학습</t>
  </si>
  <si>
    <t>3.5</t>
  </si>
  <si>
    <t>Best Loss / Best Accuracy 체크포인트 저장</t>
  </si>
  <si>
    <t>정준영(주)</t>
  </si>
  <si>
    <t>모델별 2차 Best 체크포인트 저장</t>
  </si>
  <si>
    <t>3.6</t>
  </si>
  <si>
    <t>2차 Best 모델 기반 학습률 조정 3차 추가 학습</t>
  </si>
  <si>
    <t>2차 Best에서 학습률을 낮춰 3차 추가 학습</t>
  </si>
  <si>
    <t>3.7</t>
  </si>
  <si>
    <t>3차 학습 과적합 확인 및 2차 Best 모델 유지 결정</t>
  </si>
  <si>
    <t>정준영(주) / 오석(강사 피드백 반영 조율)</t>
  </si>
  <si>
    <t>강사 피드백에 따라 3차 결과는 최종 흑백 후보에서 제외하고 2차 Best 사용</t>
  </si>
  <si>
    <t>3.8</t>
  </si>
  <si>
    <t>Jetson 피드백 반영 RGB 컬러 3개 모델 추가 학습</t>
  </si>
  <si>
    <t>정준영(주) / 김범영(결과 공유) / 오석(조율)</t>
  </si>
  <si>
    <t>SSD·Batch128·num_workers=0 조건으로 RGB 3개 모델 학습 완료 및 체크포인트 확인</t>
  </si>
  <si>
    <t>3.9</t>
  </si>
  <si>
    <t>공동 비교 모델 학습·평가·시각화</t>
  </si>
  <si>
    <t>김범영(주) / 정준영(결과 공유) / 오석(조율)</t>
  </si>
  <si>
    <t>ResNet18·MobileNetV2·EfficientNet-B0 / ImageNet pretrained / AdamW / lr 0.0003 / batch 32 / max 50 Epoch / patience 3 / seed 42 / Macro-F1 / best.pt 및 통합 비교 그래프</t>
  </si>
  <si>
    <t>4.1</t>
  </si>
  <si>
    <t>앱·Jetson</t>
  </si>
  <si>
    <t>OpenCV 얼굴 검출 및 모델 연결 조건 정리</t>
  </si>
  <si>
    <t>오석(팀장·총괄)</t>
  </si>
  <si>
    <t>OpenCV 얼굴 검출·모델 연결 조건 정리 완료</t>
  </si>
  <si>
    <t>4.2</t>
  </si>
  <si>
    <t>Jetson Orin Nano 실시간 다중 얼굴 감정 인식 구현</t>
  </si>
  <si>
    <t>오석(팀장·구현)</t>
  </si>
  <si>
    <t>Jetson Orin Nano 실시간 다중 얼굴 감정 인식 구현 및 시연 구성 완료</t>
  </si>
  <si>
    <t>4.3</t>
  </si>
  <si>
    <t>Jetson 카메라 테스트 및 grayscale 모델 피드백 확인</t>
  </si>
  <si>
    <t>오석(팀장) / 팀 전원(테스트 확인)</t>
  </si>
  <si>
    <t>grayscale 인식 성능 부족 확인 / 멘토 피드백 09.15</t>
  </si>
  <si>
    <t>4.4</t>
  </si>
  <si>
    <t>앱 오탐지 방지 개선 및 카메라 재검증</t>
  </si>
  <si>
    <t>오석(팀장·개선)</t>
  </si>
  <si>
    <t>minNeighbors·minSize·비율·Texture 조건 개선 / 팀장 수정 일지 5번 항목</t>
  </si>
  <si>
    <t>4.5</t>
  </si>
  <si>
    <t>팀 학습 결과를 반영한 Jetson 적용 모델·시연 결과 확인</t>
  </si>
  <si>
    <t>오석(앱·시연 총괄) / 정준영·김범영(모델 결과 공유)</t>
  </si>
  <si>
    <t>정준영 학습 결과와 김범영 비교 평가 결과를 팀 공동 자료로 활용해 Jetson 적용·시연 결과 확인</t>
  </si>
  <si>
    <t>5.1</t>
  </si>
  <si>
    <t>문서·산출물</t>
  </si>
  <si>
    <t>모델 TEST 보고서 및 전체 학습 결과 정리</t>
  </si>
  <si>
    <t>정준영(주) / 김범영(비교 결과 제공) / 오석(검토)</t>
  </si>
  <si>
    <t>2차 Best·3차 과적합·RGB 3개 모델 및 ResNet18·MobileNetV2·EfficientNet-B0 비교 결과 정리</t>
  </si>
  <si>
    <t>5.2</t>
  </si>
  <si>
    <t>프로젝트 GitHub 코드·모델·문서·최종 산출물 정리</t>
  </si>
  <si>
    <t>정준영·김범영(공동) / 오석(검토)</t>
  </si>
  <si>
    <t>전처리·학습·평가·시각화 코드, 모델 체크포인트, 문서·산출물을 프로젝트 GitHub/Repository에 공동 정리</t>
  </si>
  <si>
    <t>5.3</t>
  </si>
  <si>
    <t>학습·평가·시각화 결과 및 재현 자료 정리</t>
  </si>
  <si>
    <t>김범영(주) / 정준영(협업)</t>
  </si>
  <si>
    <t>emotion_project 작업물의 전처리·학습·평가·시각화·환경 설정·결과 문서를 팀 공동 산출물로 반영</t>
  </si>
  <si>
    <t>5.4</t>
  </si>
  <si>
    <t>PPT 제작 및 프로젝트 발표</t>
  </si>
  <si>
    <t>김범영(PPT·발표) / 오석(조율) / 정준영(자료 지원)</t>
  </si>
  <si>
    <t>9/17 프로젝트 발표 완료 / 팀 공동 전처리·모델 비교·앱 구현 내용을 발표자료에 반영</t>
  </si>
  <si>
    <t>5.5</t>
  </si>
  <si>
    <t>시연영상·Jetson 적용 결과 및 최종 시연 상태 점검</t>
  </si>
  <si>
    <t>오석(시연 총괄) / 팀 전원</t>
  </si>
  <si>
    <t>시연영상·Jetson 적용 결과 및 최종 시연 상태 점검 완료</t>
  </si>
  <si>
    <t>5.6</t>
  </si>
  <si>
    <t>수행계획서·WBS·요구사항 명세서·프로젝트 일지 최종 최신화·검수</t>
  </si>
  <si>
    <t>팀 전원</t>
  </si>
  <si>
    <t>9/18 전시 준비, Jetson 전시 앱 개선, grayscale 적용 한계 및 RGB 컬러 모델 적용 내용을 최종 문서에 반영</t>
  </si>
  <si>
    <t>6.1</t>
  </si>
  <si>
    <t>전시 준비</t>
  </si>
  <si>
    <t>경기남부직업능력개발원 총괄 팀장 제안에 따른 전시 방향 확정</t>
  </si>
  <si>
    <t>오석(팀장·총괄) / 팀 전원</t>
  </si>
  <si>
    <t>팀 결과물을 Jetson 기반 전시 형태로 준비하기로 방향 확정</t>
  </si>
  <si>
    <t>6.2</t>
  </si>
  <si>
    <t>Jetson 전시용 앱 v1.3 UI·추론 안정화 개선</t>
  </si>
  <si>
    <t>화면 최대화/전체화면 계열 UI, 영상 터치·클릭 설정 패널, 감정별 클래스 가중치, 박스 Deadzone/EMA, Hold, 신뢰도 표시 안정화, 데이터 저장 기능 반영</t>
  </si>
  <si>
    <t>6.3</t>
  </si>
  <si>
    <t>전시 장비 grayscale 적용 점검 및 RGB 컬러 모델 전환 결정</t>
  </si>
  <si>
    <t>오석(팀장·검증) / 팀 전원</t>
  </si>
  <si>
    <t>전시 Jetson에서 grayscale 모델 적용이 원활하지 않아 전시 운영은 RGB 컬러 모델 버전으로 확정</t>
  </si>
  <si>
    <t>6.4</t>
  </si>
  <si>
    <t>전시용 RGB 컬러 앱 최종 안정성 점검 및 전시 준비</t>
  </si>
  <si>
    <t>오석(주) / 팀 전원</t>
  </si>
  <si>
    <t>진행중</t>
  </si>
  <si>
    <t>컬러 체크포인트 로딩, 얼굴 추적, 감정·신뢰도 표시, 터치 UI, 카메라·CUDA·GUI 자원 해제 등 전시 안정성 최종 점검</t>
  </si>
  <si>
    <t>감정인식 프로젝트 WBS 요약</t>
  </si>
  <si>
    <t>항목</t>
  </si>
  <si>
    <t>내용</t>
  </si>
  <si>
    <t>전체 작업</t>
  </si>
  <si>
    <t>예정</t>
  </si>
  <si>
    <t>진척률</t>
  </si>
  <si>
    <t>프로젝트명</t>
  </si>
  <si>
    <t>얼굴 표정 기반 7개 감정 인식</t>
  </si>
  <si>
    <t>기간</t>
  </si>
  <si>
    <t>2026.09.04 ~ 2026.09.17</t>
  </si>
  <si>
    <t>발표 예정</t>
  </si>
  <si>
    <t>2026.09.16 ~ 2026.09.17</t>
  </si>
  <si>
    <t>대상 클래스</t>
  </si>
  <si>
    <t>기쁨, 당황, 분노, 불안, 상처, 슬픔, 중립</t>
  </si>
  <si>
    <t>작업수</t>
  </si>
  <si>
    <t>완료수</t>
  </si>
  <si>
    <t>기획·환경/문서</t>
  </si>
  <si>
    <t>현재 기준 주요 변경사항 (2026.09.16)</t>
  </si>
  <si>
    <t>• 9/18 경기남부직업능력개발원 총괄 팀장의 제안으로 팀 결과물을 Jetson 기반 전시 형태로 준비함.
• 오석 팀장은 Jetson 전시용 앱 v1.3 계열을 개선하여 화면 최대화/전체화면, 터치 설정 패널, 클래스 가중치 조정, 박스·감정·신뢰도 안정화 및 저장 기능을 반영함.
• 개발 과정에서는 grayscale/RGB를 모두 다뤘으나 전시 장비에서 grayscale 적용이 원활하지 않아 전시 운영은 RGB 컬러 모델로 확정함.
• 전시용 컬러 앱은 EfficientNet/ResNet/MobileNet 계열 컬러 체크포인트 로딩, 다중 얼굴 추적, 오탐지 방지, 감정 안정화 기능을 활용함.
• 기존 전처리·학습·발표·GitHub 정리는 완료되었고, 현재는 전시용 RGB 앱의 최종 안정성 점검이 남아 있음.</t>
  </si>
  <si>
    <t>완료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</si>
</sst>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m/d"/>
    <numFmt numFmtId="178" formatCode="0.0%"/>
  </numFmts>
  <fonts count="13">
    <font>
      <sz val="11"/>
      <name val="Carlito"/>
    </font>
    <font>
      <b/>
      <sz val="16"/>
      <color rgb="FFFFFFFF"/>
      <name val="Carlito"/>
    </font>
    <font>
      <b/>
      <sz val="10"/>
      <color rgb="FF1F4E78"/>
      <name val="Carlito"/>
    </font>
    <font>
      <b/>
      <sz val="9"/>
      <color rgb="FFFFFFFF"/>
      <name val="Carlito"/>
    </font>
    <font>
      <b/>
      <sz val="10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9"/>
      <color rgb="FF000000"/>
      <name val="Carlito"/>
    </font>
    <font>
      <b/>
      <sz val="10"/>
      <color rgb="FF9C5700"/>
      <name val="Carlito"/>
    </font>
    <font>
      <sz val="9"/>
      <color rgb="FF000000"/>
      <name val="Carlito"/>
    </font>
    <font>
      <sz val="9"/>
      <color rgb="FF1F1F1F"/>
      <name val="Carlito"/>
    </font>
    <font>
      <sz val="11"/>
      <name val="Carlito"/>
    </font>
    <font>
      <sz val="8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CE4D6"/>
      </patternFill>
    </fill>
  </fills>
  <borders count="25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78">
    <xf numFmtId="0" fontId="0" fillId="0" borderId="0" xfId="0"/>
    <xf numFmtId="0" fontId="3" fillId="4" borderId="0" xfId="1" applyNumberFormat="1" applyFont="1" applyFill="1" applyBorder="1" applyAlignment="1">
      <alignment horizontal="center" vertical="center" wrapText="1"/>
    </xf>
    <xf numFmtId="0" fontId="0" fillId="9" borderId="0" xfId="1" applyNumberFormat="1" applyFont="1" applyFill="1" applyBorder="1" applyAlignment="1">
      <alignment vertical="center" wrapText="1"/>
    </xf>
    <xf numFmtId="177" fontId="0" fillId="9" borderId="0" xfId="1" applyNumberFormat="1" applyFont="1" applyFill="1" applyBorder="1" applyAlignment="1">
      <alignment horizontal="center" vertical="center" wrapText="1"/>
    </xf>
    <xf numFmtId="0" fontId="3" fillId="4" borderId="1" xfId="1" applyNumberFormat="1" applyFont="1" applyFill="1" applyBorder="1" applyAlignment="1">
      <alignment horizontal="center" vertical="center" wrapText="1"/>
    </xf>
    <xf numFmtId="0" fontId="0" fillId="5" borderId="1" xfId="1" applyNumberFormat="1" applyFont="1" applyFill="1" applyBorder="1" applyAlignment="1">
      <alignment horizontal="center" vertical="center" wrapText="1"/>
    </xf>
    <xf numFmtId="0" fontId="0" fillId="5" borderId="1" xfId="1" applyNumberFormat="1" applyFont="1" applyFill="1" applyBorder="1" applyAlignment="1">
      <alignment vertical="center" wrapText="1"/>
    </xf>
    <xf numFmtId="177" fontId="0" fillId="5" borderId="1" xfId="1" applyNumberFormat="1" applyFont="1" applyFill="1" applyBorder="1" applyAlignment="1">
      <alignment horizontal="center" vertical="center" wrapText="1"/>
    </xf>
    <xf numFmtId="0" fontId="0" fillId="5" borderId="1" xfId="1" applyNumberFormat="1" applyFont="1" applyFill="1" applyBorder="1" applyAlignment="1">
      <alignment horizontal="left" vertical="center" wrapText="1"/>
    </xf>
    <xf numFmtId="0" fontId="0" fillId="6" borderId="1" xfId="1" applyNumberFormat="1" applyFont="1" applyFill="1" applyBorder="1" applyAlignment="1">
      <alignment horizontal="center" vertical="center" wrapText="1"/>
    </xf>
    <xf numFmtId="0" fontId="0" fillId="6" borderId="1" xfId="1" applyNumberFormat="1" applyFont="1" applyFill="1" applyBorder="1" applyAlignment="1">
      <alignment vertical="center" wrapText="1"/>
    </xf>
    <xf numFmtId="177" fontId="0" fillId="6" borderId="1" xfId="1" applyNumberFormat="1" applyFont="1" applyFill="1" applyBorder="1" applyAlignment="1">
      <alignment horizontal="center" vertical="center" wrapText="1"/>
    </xf>
    <xf numFmtId="0" fontId="0" fillId="6" borderId="1" xfId="1" applyNumberFormat="1" applyFont="1" applyFill="1" applyBorder="1" applyAlignment="1">
      <alignment horizontal="left" vertical="center" wrapText="1"/>
    </xf>
    <xf numFmtId="0" fontId="0" fillId="7" borderId="1" xfId="1" applyNumberFormat="1" applyFont="1" applyFill="1" applyBorder="1" applyAlignment="1">
      <alignment horizontal="center" vertical="center" wrapText="1"/>
    </xf>
    <xf numFmtId="0" fontId="0" fillId="7" borderId="1" xfId="1" applyNumberFormat="1" applyFont="1" applyFill="1" applyBorder="1" applyAlignment="1">
      <alignment vertical="center" wrapText="1"/>
    </xf>
    <xf numFmtId="177" fontId="0" fillId="7" borderId="1" xfId="1" applyNumberFormat="1" applyFont="1" applyFill="1" applyBorder="1" applyAlignment="1">
      <alignment horizontal="center" vertical="center" wrapText="1"/>
    </xf>
    <xf numFmtId="0" fontId="0" fillId="7" borderId="1" xfId="1" applyNumberFormat="1" applyFont="1" applyFill="1" applyBorder="1" applyAlignment="1">
      <alignment horizontal="left" vertical="center" wrapText="1"/>
    </xf>
    <xf numFmtId="0" fontId="0" fillId="8" borderId="1" xfId="1" applyNumberFormat="1" applyFont="1" applyFill="1" applyBorder="1" applyAlignment="1">
      <alignment horizontal="center" vertical="center" wrapText="1"/>
    </xf>
    <xf numFmtId="0" fontId="0" fillId="8" borderId="1" xfId="1" applyNumberFormat="1" applyFont="1" applyFill="1" applyBorder="1" applyAlignment="1">
      <alignment vertical="center" wrapText="1"/>
    </xf>
    <xf numFmtId="177" fontId="0" fillId="8" borderId="1" xfId="1" applyNumberFormat="1" applyFont="1" applyFill="1" applyBorder="1" applyAlignment="1">
      <alignment horizontal="center" vertical="center" wrapText="1"/>
    </xf>
    <xf numFmtId="0" fontId="0" fillId="8" borderId="1" xfId="1" applyNumberFormat="1" applyFont="1" applyFill="1" applyBorder="1" applyAlignment="1">
      <alignment horizontal="left" vertical="center" wrapText="1"/>
    </xf>
    <xf numFmtId="0" fontId="0" fillId="9" borderId="1" xfId="1" applyNumberFormat="1" applyFont="1" applyFill="1" applyBorder="1" applyAlignment="1">
      <alignment horizontal="center" vertical="center" wrapText="1"/>
    </xf>
    <xf numFmtId="0" fontId="0" fillId="9" borderId="1" xfId="1" applyNumberFormat="1" applyFont="1" applyFill="1" applyBorder="1" applyAlignment="1">
      <alignment vertical="center" wrapText="1"/>
    </xf>
    <xf numFmtId="177" fontId="0" fillId="9" borderId="1" xfId="1" applyNumberFormat="1" applyFont="1" applyFill="1" applyBorder="1" applyAlignment="1">
      <alignment horizontal="center" vertical="center" wrapText="1"/>
    </xf>
    <xf numFmtId="0" fontId="0" fillId="9" borderId="1" xfId="1" applyNumberFormat="1" applyFont="1" applyFill="1" applyBorder="1" applyAlignment="1">
      <alignment horizontal="left" vertical="center" wrapText="1"/>
    </xf>
    <xf numFmtId="0" fontId="6" fillId="3" borderId="0" xfId="1" applyNumberFormat="1" applyFont="1" applyFill="1" applyBorder="1"/>
    <xf numFmtId="178" fontId="0" fillId="0" borderId="0" xfId="1" applyNumberFormat="1" applyFont="1" applyFill="1" applyBorder="1"/>
    <xf numFmtId="0" fontId="7" fillId="10" borderId="2" xfId="1" applyNumberFormat="1" applyFont="1" applyFill="1" applyBorder="1" applyAlignment="1">
      <alignment horizontal="center" vertical="center" wrapText="1"/>
    </xf>
    <xf numFmtId="0" fontId="7" fillId="10" borderId="3" xfId="1" applyNumberFormat="1" applyFont="1" applyFill="1" applyBorder="1" applyAlignment="1">
      <alignment horizontal="center" vertical="center" wrapText="1"/>
    </xf>
    <xf numFmtId="0" fontId="7" fillId="10" borderId="4" xfId="1" applyNumberFormat="1" applyFont="1" applyFill="1" applyBorder="1" applyAlignment="1">
      <alignment horizontal="center" vertical="center" wrapText="1"/>
    </xf>
    <xf numFmtId="0" fontId="7" fillId="10" borderId="0" xfId="1" applyNumberFormat="1" applyFont="1" applyFill="1" applyAlignment="1">
      <alignment horizontal="center" vertical="center" wrapText="1"/>
    </xf>
    <xf numFmtId="0" fontId="7" fillId="10" borderId="5" xfId="1" applyNumberFormat="1" applyFont="1" applyFill="1" applyBorder="1" applyAlignment="1">
      <alignment horizontal="center" vertical="center" wrapText="1"/>
    </xf>
    <xf numFmtId="0" fontId="7" fillId="10" borderId="0" xfId="1" applyNumberFormat="1" applyFont="1" applyFill="1" applyAlignment="1">
      <alignment horizontal="center" vertical="center"/>
    </xf>
    <xf numFmtId="0" fontId="7" fillId="10" borderId="7" xfId="1" applyNumberFormat="1" applyFont="1" applyFill="1" applyBorder="1" applyAlignment="1">
      <alignment horizontal="center" vertical="center"/>
    </xf>
    <xf numFmtId="0" fontId="7" fillId="10" borderId="4" xfId="1" applyNumberFormat="1" applyFont="1" applyFill="1" applyBorder="1" applyAlignment="1">
      <alignment horizontal="center" vertical="center"/>
    </xf>
    <xf numFmtId="0" fontId="7" fillId="10" borderId="6" xfId="1" applyNumberFormat="1" applyFont="1" applyFill="1" applyBorder="1" applyAlignment="1">
      <alignment horizontal="center" vertical="center"/>
    </xf>
    <xf numFmtId="0" fontId="3" fillId="11" borderId="8" xfId="1" applyNumberFormat="1" applyFont="1" applyFill="1" applyBorder="1" applyAlignment="1">
      <alignment horizontal="center" vertical="center" wrapText="1"/>
    </xf>
    <xf numFmtId="0" fontId="3" fillId="11" borderId="8" xfId="1" applyNumberFormat="1" applyFont="1" applyFill="1" applyBorder="1" applyAlignment="1">
      <alignment horizontal="center" vertical="center"/>
    </xf>
    <xf numFmtId="0" fontId="8" fillId="12" borderId="1" xfId="1" applyNumberFormat="1" applyFont="1" applyFill="1" applyBorder="1" applyAlignment="1">
      <alignment horizontal="center" vertical="center" wrapText="1"/>
    </xf>
    <xf numFmtId="0" fontId="8" fillId="12" borderId="0" xfId="1" applyNumberFormat="1" applyFont="1" applyFill="1" applyBorder="1" applyAlignment="1">
      <alignment horizontal="center" vertical="center" wrapText="1"/>
    </xf>
    <xf numFmtId="1" fontId="0" fillId="5" borderId="1" xfId="1" applyNumberFormat="1" applyFont="1" applyFill="1" applyBorder="1" applyAlignment="1">
      <alignment horizontal="center" vertical="center" wrapText="1"/>
    </xf>
    <xf numFmtId="1" fontId="0" fillId="6" borderId="1" xfId="1" applyNumberFormat="1" applyFont="1" applyFill="1" applyBorder="1" applyAlignment="1">
      <alignment horizontal="center" vertical="center" wrapText="1"/>
    </xf>
    <xf numFmtId="1" fontId="0" fillId="7" borderId="1" xfId="1" applyNumberFormat="1" applyFont="1" applyFill="1" applyBorder="1" applyAlignment="1">
      <alignment horizontal="center" vertical="center" wrapText="1"/>
    </xf>
    <xf numFmtId="1" fontId="0" fillId="8" borderId="1" xfId="1" applyNumberFormat="1" applyFont="1" applyFill="1" applyBorder="1" applyAlignment="1">
      <alignment horizontal="center" vertical="center" wrapText="1"/>
    </xf>
    <xf numFmtId="1" fontId="0" fillId="9" borderId="1" xfId="1" applyNumberFormat="1" applyFont="1" applyFill="1" applyBorder="1" applyAlignment="1">
      <alignment horizontal="center" vertical="center" wrapText="1"/>
    </xf>
    <xf numFmtId="1" fontId="0" fillId="9" borderId="0" xfId="1" applyNumberFormat="1" applyFont="1" applyFill="1" applyBorder="1" applyAlignment="1">
      <alignment horizontal="center" vertical="center" wrapText="1"/>
    </xf>
    <xf numFmtId="177" fontId="3" fillId="13" borderId="9" xfId="1" applyNumberFormat="1" applyFont="1" applyFill="1" applyBorder="1" applyAlignment="1">
      <alignment horizontal="center" vertical="center" wrapText="1"/>
    </xf>
    <xf numFmtId="177" fontId="3" fillId="13" borderId="10" xfId="1" applyNumberFormat="1" applyFont="1" applyFill="1" applyBorder="1" applyAlignment="1">
      <alignment horizontal="center" vertical="center" wrapText="1"/>
    </xf>
    <xf numFmtId="177" fontId="3" fillId="13" borderId="11" xfId="1" applyNumberFormat="1" applyFont="1" applyFill="1" applyBorder="1" applyAlignment="1">
      <alignment horizontal="center" vertical="center"/>
    </xf>
    <xf numFmtId="0" fontId="9" fillId="14" borderId="12" xfId="1" applyNumberFormat="1" applyFont="1" applyFill="1" applyBorder="1" applyAlignment="1">
      <alignment horizontal="center" vertical="center"/>
    </xf>
    <xf numFmtId="0" fontId="9" fillId="14" borderId="13" xfId="1" applyNumberFormat="1" applyFont="1" applyFill="1" applyBorder="1" applyAlignment="1">
      <alignment horizontal="center" vertical="center"/>
    </xf>
    <xf numFmtId="0" fontId="10" fillId="15" borderId="14" xfId="1" applyNumberFormat="1" applyFont="1" applyFill="1" applyBorder="1" applyAlignment="1">
      <alignment vertical="center" wrapText="1"/>
    </xf>
    <xf numFmtId="0" fontId="10" fillId="15" borderId="15" xfId="1" applyNumberFormat="1" applyFont="1" applyFill="1" applyBorder="1" applyAlignment="1">
      <alignment vertical="center" wrapText="1"/>
    </xf>
    <xf numFmtId="0" fontId="10" fillId="15" borderId="16" xfId="1" applyNumberFormat="1" applyFont="1" applyFill="1" applyBorder="1" applyAlignment="1">
      <alignment vertical="center" wrapText="1"/>
    </xf>
    <xf numFmtId="0" fontId="10" fillId="15" borderId="17" xfId="1" applyNumberFormat="1" applyFont="1" applyFill="1" applyBorder="1" applyAlignment="1">
      <alignment vertical="center" wrapText="1"/>
    </xf>
    <xf numFmtId="0" fontId="10" fillId="15" borderId="0" xfId="1" applyNumberFormat="1" applyFont="1" applyFill="1" applyAlignment="1">
      <alignment vertical="center" wrapText="1"/>
    </xf>
    <xf numFmtId="0" fontId="10" fillId="15" borderId="18" xfId="1" applyNumberFormat="1" applyFont="1" applyFill="1" applyBorder="1" applyAlignment="1">
      <alignment vertical="center" wrapText="1"/>
    </xf>
    <xf numFmtId="0" fontId="10" fillId="15" borderId="19" xfId="1" applyNumberFormat="1" applyFont="1" applyFill="1" applyBorder="1" applyAlignment="1">
      <alignment vertical="center" wrapText="1"/>
    </xf>
    <xf numFmtId="0" fontId="10" fillId="15" borderId="20" xfId="1" applyNumberFormat="1" applyFont="1" applyFill="1" applyBorder="1" applyAlignment="1">
      <alignment vertical="center" wrapText="1"/>
    </xf>
    <xf numFmtId="0" fontId="10" fillId="15" borderId="21" xfId="1" applyNumberFormat="1" applyFont="1" applyFill="1" applyBorder="1" applyAlignment="1">
      <alignment vertical="center" wrapText="1"/>
    </xf>
    <xf numFmtId="177" fontId="10" fillId="15" borderId="15" xfId="1" applyNumberFormat="1" applyFont="1" applyFill="1" applyBorder="1" applyAlignment="1">
      <alignment horizontal="center" vertical="center" wrapText="1"/>
    </xf>
    <xf numFmtId="177" fontId="10" fillId="15" borderId="0" xfId="1" applyNumberFormat="1" applyFont="1" applyFill="1" applyAlignment="1">
      <alignment horizontal="center" vertical="center" wrapText="1"/>
    </xf>
    <xf numFmtId="177" fontId="10" fillId="15" borderId="20" xfId="1" applyNumberFormat="1" applyFont="1" applyFill="1" applyBorder="1" applyAlignment="1">
      <alignment horizontal="center" vertical="center" wrapText="1"/>
    </xf>
    <xf numFmtId="1" fontId="10" fillId="15" borderId="15" xfId="1" applyNumberFormat="1" applyFont="1" applyFill="1" applyBorder="1" applyAlignment="1">
      <alignment horizontal="center" vertical="center" wrapText="1"/>
    </xf>
    <xf numFmtId="1" fontId="10" fillId="15" borderId="0" xfId="1" applyNumberFormat="1" applyFont="1" applyFill="1" applyAlignment="1">
      <alignment horizontal="center" vertical="center" wrapText="1"/>
    </xf>
    <xf numFmtId="1" fontId="10" fillId="15" borderId="20" xfId="1" applyNumberFormat="1" applyFont="1" applyFill="1" applyBorder="1" applyAlignment="1">
      <alignment horizontal="center" vertical="center" wrapText="1"/>
    </xf>
    <xf numFmtId="0" fontId="7" fillId="14" borderId="22" xfId="1" applyNumberFormat="1" applyFont="1" applyFill="1" applyBorder="1" applyAlignment="1">
      <alignment horizontal="center" vertical="center"/>
    </xf>
    <xf numFmtId="0" fontId="7" fillId="14" borderId="23" xfId="1" applyNumberFormat="1" applyFont="1" applyFill="1" applyBorder="1" applyAlignment="1">
      <alignment horizontal="center" vertical="center"/>
    </xf>
    <xf numFmtId="0" fontId="3" fillId="16" borderId="24" xfId="1" applyNumberFormat="1" applyFont="1" applyFill="1" applyBorder="1" applyAlignment="1">
      <alignment horizontal="center" vertical="center"/>
    </xf>
    <xf numFmtId="0" fontId="3" fillId="16" borderId="13" xfId="1" applyNumberFormat="1" applyFont="1" applyFill="1" applyBorder="1" applyAlignment="1">
      <alignment horizontal="center" vertical="center"/>
    </xf>
    <xf numFmtId="0" fontId="8" fillId="17" borderId="15" xfId="1" applyNumberFormat="1" applyFont="1" applyFill="1" applyBorder="1" applyAlignment="1">
      <alignment horizontal="center" vertical="center" wrapText="1"/>
    </xf>
    <xf numFmtId="0" fontId="8" fillId="17" borderId="0" xfId="1" applyNumberFormat="1" applyFont="1" applyFill="1" applyAlignment="1">
      <alignment horizontal="center" vertical="center" wrapText="1"/>
    </xf>
    <xf numFmtId="0" fontId="8" fillId="17" borderId="20" xfId="1" applyNumberFormat="1" applyFont="1" applyFill="1" applyBorder="1" applyAlignment="1">
      <alignment horizontal="center" vertical="center" wrapText="1"/>
    </xf>
    <xf numFmtId="0" fontId="1" fillId="2" borderId="0" xfId="1" applyNumberFormat="1" applyFont="1" applyFill="1" applyBorder="1" applyAlignment="1">
      <alignment horizontal="center" vertical="center"/>
    </xf>
    <xf numFmtId="0" fontId="2" fillId="3" borderId="0" xfId="1" applyNumberFormat="1" applyFont="1" applyFill="1" applyBorder="1" applyAlignment="1">
      <alignment horizontal="center" vertical="center"/>
    </xf>
    <xf numFmtId="0" fontId="5" fillId="2" borderId="0" xfId="1" applyNumberFormat="1" applyFont="1" applyFill="1" applyBorder="1" applyAlignment="1">
      <alignment horizontal="center" vertical="center"/>
    </xf>
    <xf numFmtId="0" fontId="4" fillId="4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"/>
  <sheetViews>
    <sheetView tabSelected="1" topLeftCell="D34" workbookViewId="0">
      <selection activeCell="H40" sqref="H40"/>
    </sheetView>
  </sheetViews>
  <sheetFormatPr defaultRowHeight="14.25"/>
  <cols>
    <col min="1" max="1" width="7" customWidth="1"/>
    <col min="2" max="2" width="12" customWidth="1"/>
    <col min="3" max="3" width="45" customWidth="1"/>
    <col min="4" max="4" width="38" customWidth="1"/>
    <col min="5" max="6" width="9" customWidth="1"/>
    <col min="7" max="7" width="8" customWidth="1"/>
    <col min="8" max="8" width="9" customWidth="1"/>
    <col min="9" max="9" width="52" customWidth="1"/>
    <col min="10" max="23" width="5.5" customWidth="1"/>
  </cols>
  <sheetData>
    <row r="1" spans="1:24" ht="26.1" customHeight="1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</row>
    <row r="2" spans="1:24" ht="21.95" customHeigh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4" spans="1:24" ht="21.9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6">
        <v>46269</v>
      </c>
      <c r="K4" s="47">
        <v>46270</v>
      </c>
      <c r="L4" s="47">
        <v>46271</v>
      </c>
      <c r="M4" s="47">
        <v>46272</v>
      </c>
      <c r="N4" s="47">
        <v>46273</v>
      </c>
      <c r="O4" s="47">
        <v>46274</v>
      </c>
      <c r="P4" s="47">
        <v>46275</v>
      </c>
      <c r="Q4" s="47">
        <v>46276</v>
      </c>
      <c r="R4" s="47">
        <v>46277</v>
      </c>
      <c r="S4" s="47">
        <v>46278</v>
      </c>
      <c r="T4" s="47">
        <v>46279</v>
      </c>
      <c r="U4" s="47">
        <v>46280</v>
      </c>
      <c r="V4" s="47">
        <v>46281</v>
      </c>
      <c r="W4" s="47">
        <v>46282</v>
      </c>
      <c r="X4" s="48">
        <v>46283</v>
      </c>
    </row>
    <row r="5" spans="1:24" ht="57.95" customHeight="1">
      <c r="A5" s="5" t="s">
        <v>11</v>
      </c>
      <c r="B5" s="5" t="s">
        <v>12</v>
      </c>
      <c r="C5" s="6" t="s">
        <v>13</v>
      </c>
      <c r="D5" s="5" t="s">
        <v>14</v>
      </c>
      <c r="E5" s="7">
        <v>46269</v>
      </c>
      <c r="F5" s="7">
        <v>46269</v>
      </c>
      <c r="G5" s="40">
        <v>1</v>
      </c>
      <c r="H5" s="38" t="s">
        <v>15</v>
      </c>
      <c r="I5" s="8" t="s">
        <v>16</v>
      </c>
      <c r="J5" s="36" t="s">
        <v>17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49"/>
    </row>
    <row r="6" spans="1:24" ht="57.95" customHeight="1">
      <c r="A6" s="5" t="s">
        <v>18</v>
      </c>
      <c r="B6" s="5" t="s">
        <v>12</v>
      </c>
      <c r="C6" s="6" t="s">
        <v>19</v>
      </c>
      <c r="D6" s="5" t="s">
        <v>20</v>
      </c>
      <c r="E6" s="7">
        <v>46270</v>
      </c>
      <c r="F6" s="7">
        <v>46272</v>
      </c>
      <c r="G6" s="40">
        <v>3</v>
      </c>
      <c r="H6" s="38" t="s">
        <v>15</v>
      </c>
      <c r="I6" s="8" t="s">
        <v>21</v>
      </c>
      <c r="J6" s="29"/>
      <c r="K6" s="36" t="s">
        <v>17</v>
      </c>
      <c r="L6" s="36" t="s">
        <v>17</v>
      </c>
      <c r="M6" s="36" t="s">
        <v>17</v>
      </c>
      <c r="N6" s="30"/>
      <c r="O6" s="30"/>
      <c r="P6" s="30"/>
      <c r="Q6" s="30"/>
      <c r="R6" s="30"/>
      <c r="S6" s="30"/>
      <c r="T6" s="30"/>
      <c r="U6" s="30"/>
      <c r="V6" s="30"/>
      <c r="W6" s="31"/>
      <c r="X6" s="50"/>
    </row>
    <row r="7" spans="1:24" ht="57.95" customHeight="1">
      <c r="A7" s="5" t="s">
        <v>22</v>
      </c>
      <c r="B7" s="5" t="s">
        <v>12</v>
      </c>
      <c r="C7" s="6" t="s">
        <v>23</v>
      </c>
      <c r="D7" s="5" t="s">
        <v>24</v>
      </c>
      <c r="E7" s="7">
        <v>46273</v>
      </c>
      <c r="F7" s="7">
        <v>46273</v>
      </c>
      <c r="G7" s="40">
        <v>1</v>
      </c>
      <c r="H7" s="38" t="s">
        <v>15</v>
      </c>
      <c r="I7" s="8" t="s">
        <v>25</v>
      </c>
      <c r="J7" s="29"/>
      <c r="K7" s="30"/>
      <c r="L7" s="30"/>
      <c r="M7" s="30"/>
      <c r="N7" s="36" t="s">
        <v>17</v>
      </c>
      <c r="O7" s="30"/>
      <c r="P7" s="30"/>
      <c r="Q7" s="30"/>
      <c r="R7" s="30"/>
      <c r="S7" s="30"/>
      <c r="T7" s="30"/>
      <c r="U7" s="30"/>
      <c r="V7" s="30"/>
      <c r="W7" s="31"/>
      <c r="X7" s="50"/>
    </row>
    <row r="8" spans="1:24" ht="57.95" customHeight="1">
      <c r="A8" s="5" t="s">
        <v>26</v>
      </c>
      <c r="B8" s="5" t="s">
        <v>27</v>
      </c>
      <c r="C8" s="6" t="s">
        <v>28</v>
      </c>
      <c r="D8" s="5" t="s">
        <v>29</v>
      </c>
      <c r="E8" s="7">
        <v>46272</v>
      </c>
      <c r="F8" s="7">
        <v>46281</v>
      </c>
      <c r="G8" s="40">
        <v>10</v>
      </c>
      <c r="H8" s="38" t="s">
        <v>15</v>
      </c>
      <c r="I8" s="8" t="s">
        <v>30</v>
      </c>
      <c r="J8" s="29"/>
      <c r="K8" s="30"/>
      <c r="L8" s="30"/>
      <c r="M8" s="36" t="s">
        <v>17</v>
      </c>
      <c r="N8" s="36" t="s">
        <v>17</v>
      </c>
      <c r="O8" s="36" t="s">
        <v>17</v>
      </c>
      <c r="P8" s="36" t="s">
        <v>17</v>
      </c>
      <c r="Q8" s="36" t="s">
        <v>17</v>
      </c>
      <c r="R8" s="36" t="s">
        <v>17</v>
      </c>
      <c r="S8" s="36" t="s">
        <v>17</v>
      </c>
      <c r="T8" s="36" t="s">
        <v>17</v>
      </c>
      <c r="U8" s="36" t="s">
        <v>17</v>
      </c>
      <c r="V8" s="36" t="s">
        <v>17</v>
      </c>
      <c r="W8" s="31"/>
      <c r="X8" s="50"/>
    </row>
    <row r="9" spans="1:24" ht="57.95" customHeight="1">
      <c r="A9" s="5" t="s">
        <v>31</v>
      </c>
      <c r="B9" s="5" t="s">
        <v>27</v>
      </c>
      <c r="C9" s="6" t="s">
        <v>32</v>
      </c>
      <c r="D9" s="5" t="s">
        <v>33</v>
      </c>
      <c r="E9" s="7">
        <v>46269</v>
      </c>
      <c r="F9" s="7">
        <v>46282</v>
      </c>
      <c r="G9" s="40">
        <v>14</v>
      </c>
      <c r="H9" s="38" t="s">
        <v>15</v>
      </c>
      <c r="I9" s="8" t="s">
        <v>34</v>
      </c>
      <c r="J9" s="36" t="s">
        <v>17</v>
      </c>
      <c r="K9" s="36" t="s">
        <v>17</v>
      </c>
      <c r="L9" s="36" t="s">
        <v>17</v>
      </c>
      <c r="M9" s="36" t="s">
        <v>17</v>
      </c>
      <c r="N9" s="36" t="s">
        <v>17</v>
      </c>
      <c r="O9" s="36" t="s">
        <v>17</v>
      </c>
      <c r="P9" s="36" t="s">
        <v>17</v>
      </c>
      <c r="Q9" s="36" t="s">
        <v>17</v>
      </c>
      <c r="R9" s="36" t="s">
        <v>17</v>
      </c>
      <c r="S9" s="36" t="s">
        <v>17</v>
      </c>
      <c r="T9" s="36" t="s">
        <v>17</v>
      </c>
      <c r="U9" s="36" t="s">
        <v>17</v>
      </c>
      <c r="V9" s="36" t="s">
        <v>17</v>
      </c>
      <c r="W9" s="36" t="s">
        <v>17</v>
      </c>
      <c r="X9" s="50"/>
    </row>
    <row r="10" spans="1:24" ht="57.95" customHeight="1">
      <c r="A10" s="9" t="s">
        <v>35</v>
      </c>
      <c r="B10" s="9" t="s">
        <v>36</v>
      </c>
      <c r="C10" s="10" t="s">
        <v>37</v>
      </c>
      <c r="D10" s="9" t="s">
        <v>38</v>
      </c>
      <c r="E10" s="11">
        <v>46274</v>
      </c>
      <c r="F10" s="11">
        <v>46274</v>
      </c>
      <c r="G10" s="41">
        <v>1</v>
      </c>
      <c r="H10" s="38" t="s">
        <v>15</v>
      </c>
      <c r="I10" s="12" t="s">
        <v>39</v>
      </c>
      <c r="J10" s="29"/>
      <c r="K10" s="30"/>
      <c r="L10" s="30"/>
      <c r="M10" s="30"/>
      <c r="N10" s="30"/>
      <c r="O10" s="36" t="s">
        <v>17</v>
      </c>
      <c r="P10" s="30"/>
      <c r="Q10" s="30"/>
      <c r="R10" s="30"/>
      <c r="S10" s="30"/>
      <c r="T10" s="30"/>
      <c r="U10" s="30"/>
      <c r="V10" s="30"/>
      <c r="W10" s="31"/>
      <c r="X10" s="50"/>
    </row>
    <row r="11" spans="1:24" ht="57.95" customHeight="1">
      <c r="A11" s="9" t="s">
        <v>40</v>
      </c>
      <c r="B11" s="9" t="s">
        <v>36</v>
      </c>
      <c r="C11" s="10" t="s">
        <v>41</v>
      </c>
      <c r="D11" s="9" t="s">
        <v>42</v>
      </c>
      <c r="E11" s="11">
        <v>46274</v>
      </c>
      <c r="F11" s="11">
        <v>46275</v>
      </c>
      <c r="G11" s="41">
        <v>2</v>
      </c>
      <c r="H11" s="38" t="s">
        <v>15</v>
      </c>
      <c r="I11" s="12" t="s">
        <v>43</v>
      </c>
      <c r="J11" s="29"/>
      <c r="K11" s="30"/>
      <c r="L11" s="30"/>
      <c r="M11" s="30"/>
      <c r="N11" s="30"/>
      <c r="O11" s="36" t="s">
        <v>17</v>
      </c>
      <c r="P11" s="36" t="s">
        <v>17</v>
      </c>
      <c r="Q11" s="30"/>
      <c r="R11" s="30"/>
      <c r="S11" s="30"/>
      <c r="T11" s="30"/>
      <c r="U11" s="30"/>
      <c r="V11" s="30"/>
      <c r="W11" s="31"/>
      <c r="X11" s="50"/>
    </row>
    <row r="12" spans="1:24" ht="57.95" customHeight="1">
      <c r="A12" s="9" t="s">
        <v>44</v>
      </c>
      <c r="B12" s="9" t="s">
        <v>36</v>
      </c>
      <c r="C12" s="10" t="s">
        <v>45</v>
      </c>
      <c r="D12" s="9" t="s">
        <v>42</v>
      </c>
      <c r="E12" s="11">
        <v>46274</v>
      </c>
      <c r="F12" s="11">
        <v>46275</v>
      </c>
      <c r="G12" s="41">
        <v>2</v>
      </c>
      <c r="H12" s="38" t="s">
        <v>15</v>
      </c>
      <c r="I12" s="12" t="s">
        <v>46</v>
      </c>
      <c r="J12" s="29"/>
      <c r="K12" s="30"/>
      <c r="L12" s="30"/>
      <c r="M12" s="30"/>
      <c r="N12" s="30"/>
      <c r="O12" s="36" t="s">
        <v>17</v>
      </c>
      <c r="P12" s="36" t="s">
        <v>17</v>
      </c>
      <c r="Q12" s="30"/>
      <c r="R12" s="30"/>
      <c r="S12" s="30"/>
      <c r="T12" s="30"/>
      <c r="U12" s="30"/>
      <c r="V12" s="30"/>
      <c r="W12" s="31"/>
      <c r="X12" s="50"/>
    </row>
    <row r="13" spans="1:24" ht="57.95" customHeight="1">
      <c r="A13" s="9" t="s">
        <v>47</v>
      </c>
      <c r="B13" s="9" t="s">
        <v>36</v>
      </c>
      <c r="C13" s="10" t="s">
        <v>48</v>
      </c>
      <c r="D13" s="9" t="s">
        <v>38</v>
      </c>
      <c r="E13" s="11">
        <v>46275</v>
      </c>
      <c r="F13" s="11">
        <v>46275</v>
      </c>
      <c r="G13" s="41">
        <v>1</v>
      </c>
      <c r="H13" s="38" t="s">
        <v>15</v>
      </c>
      <c r="I13" s="12" t="s">
        <v>49</v>
      </c>
      <c r="J13" s="29"/>
      <c r="K13" s="30"/>
      <c r="L13" s="30"/>
      <c r="M13" s="30"/>
      <c r="N13" s="30"/>
      <c r="O13" s="30"/>
      <c r="P13" s="36" t="s">
        <v>17</v>
      </c>
      <c r="Q13" s="30"/>
      <c r="R13" s="30"/>
      <c r="S13" s="30"/>
      <c r="T13" s="30"/>
      <c r="U13" s="30"/>
      <c r="V13" s="30"/>
      <c r="W13" s="31"/>
      <c r="X13" s="50"/>
    </row>
    <row r="14" spans="1:24" ht="57.95" customHeight="1">
      <c r="A14" s="9" t="s">
        <v>50</v>
      </c>
      <c r="B14" s="9" t="s">
        <v>36</v>
      </c>
      <c r="C14" s="10" t="s">
        <v>51</v>
      </c>
      <c r="D14" s="9" t="s">
        <v>38</v>
      </c>
      <c r="E14" s="11">
        <v>46275</v>
      </c>
      <c r="F14" s="11">
        <v>46275</v>
      </c>
      <c r="G14" s="41">
        <v>1</v>
      </c>
      <c r="H14" s="38" t="s">
        <v>15</v>
      </c>
      <c r="I14" s="12" t="s">
        <v>52</v>
      </c>
      <c r="J14" s="29"/>
      <c r="K14" s="30"/>
      <c r="L14" s="30"/>
      <c r="M14" s="30"/>
      <c r="N14" s="30"/>
      <c r="O14" s="30"/>
      <c r="P14" s="36" t="s">
        <v>17</v>
      </c>
      <c r="Q14" s="30"/>
      <c r="R14" s="30"/>
      <c r="S14" s="30"/>
      <c r="T14" s="30"/>
      <c r="U14" s="30"/>
      <c r="V14" s="30"/>
      <c r="W14" s="31"/>
      <c r="X14" s="50"/>
    </row>
    <row r="15" spans="1:24" ht="96" customHeight="1">
      <c r="A15" s="13" t="s">
        <v>53</v>
      </c>
      <c r="B15" s="13" t="s">
        <v>36</v>
      </c>
      <c r="C15" s="14" t="s">
        <v>54</v>
      </c>
      <c r="D15" s="13" t="s">
        <v>55</v>
      </c>
      <c r="E15" s="15">
        <v>46273</v>
      </c>
      <c r="F15" s="15">
        <v>46282</v>
      </c>
      <c r="G15" s="42">
        <v>10</v>
      </c>
      <c r="H15" s="38" t="s">
        <v>15</v>
      </c>
      <c r="I15" s="16" t="s">
        <v>56</v>
      </c>
      <c r="J15" s="29"/>
      <c r="K15" s="30"/>
      <c r="L15" s="30"/>
      <c r="M15" s="30"/>
      <c r="N15" s="36" t="s">
        <v>17</v>
      </c>
      <c r="O15" s="36" t="s">
        <v>17</v>
      </c>
      <c r="P15" s="36" t="s">
        <v>17</v>
      </c>
      <c r="Q15" s="36" t="s">
        <v>17</v>
      </c>
      <c r="R15" s="36" t="s">
        <v>17</v>
      </c>
      <c r="S15" s="36" t="s">
        <v>17</v>
      </c>
      <c r="T15" s="36" t="s">
        <v>17</v>
      </c>
      <c r="U15" s="36" t="s">
        <v>17</v>
      </c>
      <c r="V15" s="36" t="s">
        <v>17</v>
      </c>
      <c r="W15" s="36" t="s">
        <v>17</v>
      </c>
      <c r="X15" s="50"/>
    </row>
    <row r="16" spans="1:24" ht="57.95" customHeight="1">
      <c r="A16" s="13" t="s">
        <v>57</v>
      </c>
      <c r="B16" s="13" t="s">
        <v>58</v>
      </c>
      <c r="C16" s="14" t="s">
        <v>59</v>
      </c>
      <c r="D16" s="13" t="s">
        <v>60</v>
      </c>
      <c r="E16" s="15">
        <v>46275</v>
      </c>
      <c r="F16" s="15">
        <v>46275</v>
      </c>
      <c r="G16" s="42">
        <v>1</v>
      </c>
      <c r="H16" s="38" t="s">
        <v>15</v>
      </c>
      <c r="I16" s="16" t="s">
        <v>61</v>
      </c>
      <c r="J16" s="29"/>
      <c r="K16" s="30"/>
      <c r="L16" s="30"/>
      <c r="M16" s="30"/>
      <c r="N16" s="30"/>
      <c r="O16" s="30"/>
      <c r="P16" s="36" t="s">
        <v>17</v>
      </c>
      <c r="Q16" s="30"/>
      <c r="R16" s="30"/>
      <c r="S16" s="30"/>
      <c r="T16" s="30"/>
      <c r="U16" s="30"/>
      <c r="V16" s="30"/>
      <c r="W16" s="31"/>
      <c r="X16" s="50"/>
    </row>
    <row r="17" spans="1:24" ht="80.099999999999994" customHeight="1">
      <c r="A17" s="13" t="s">
        <v>62</v>
      </c>
      <c r="B17" s="13" t="s">
        <v>58</v>
      </c>
      <c r="C17" s="14" t="s">
        <v>63</v>
      </c>
      <c r="D17" s="13" t="s">
        <v>64</v>
      </c>
      <c r="E17" s="15">
        <v>46276</v>
      </c>
      <c r="F17" s="15">
        <v>46276</v>
      </c>
      <c r="G17" s="42">
        <v>1</v>
      </c>
      <c r="H17" s="38" t="s">
        <v>15</v>
      </c>
      <c r="I17" s="16" t="s">
        <v>65</v>
      </c>
      <c r="J17" s="29"/>
      <c r="K17" s="30"/>
      <c r="L17" s="30"/>
      <c r="M17" s="30"/>
      <c r="N17" s="30"/>
      <c r="O17" s="30"/>
      <c r="P17" s="30"/>
      <c r="Q17" s="36" t="s">
        <v>17</v>
      </c>
      <c r="R17" s="30"/>
      <c r="S17" s="30"/>
      <c r="T17" s="30"/>
      <c r="U17" s="30"/>
      <c r="V17" s="30"/>
      <c r="W17" s="31"/>
      <c r="X17" s="50"/>
    </row>
    <row r="18" spans="1:24" ht="57.95" customHeight="1">
      <c r="A18" s="13" t="s">
        <v>66</v>
      </c>
      <c r="B18" s="13" t="s">
        <v>58</v>
      </c>
      <c r="C18" s="14" t="s">
        <v>67</v>
      </c>
      <c r="D18" s="13" t="s">
        <v>68</v>
      </c>
      <c r="E18" s="15">
        <v>46276</v>
      </c>
      <c r="F18" s="15">
        <v>46277</v>
      </c>
      <c r="G18" s="42">
        <v>2</v>
      </c>
      <c r="H18" s="38" t="s">
        <v>15</v>
      </c>
      <c r="I18" s="16" t="s">
        <v>69</v>
      </c>
      <c r="J18" s="29"/>
      <c r="K18" s="30"/>
      <c r="L18" s="30"/>
      <c r="M18" s="30"/>
      <c r="N18" s="30"/>
      <c r="O18" s="30"/>
      <c r="P18" s="30"/>
      <c r="Q18" s="36" t="s">
        <v>17</v>
      </c>
      <c r="R18" s="36" t="s">
        <v>17</v>
      </c>
      <c r="S18" s="30"/>
      <c r="T18" s="30"/>
      <c r="U18" s="30"/>
      <c r="V18" s="30"/>
      <c r="W18" s="31"/>
      <c r="X18" s="50"/>
    </row>
    <row r="19" spans="1:24" ht="57.95" customHeight="1">
      <c r="A19" s="13" t="s">
        <v>70</v>
      </c>
      <c r="B19" s="13" t="s">
        <v>58</v>
      </c>
      <c r="C19" s="14" t="s">
        <v>71</v>
      </c>
      <c r="D19" s="13" t="s">
        <v>68</v>
      </c>
      <c r="E19" s="15">
        <v>46277</v>
      </c>
      <c r="F19" s="15">
        <v>46278</v>
      </c>
      <c r="G19" s="42">
        <v>2</v>
      </c>
      <c r="H19" s="38" t="s">
        <v>15</v>
      </c>
      <c r="I19" s="16" t="s">
        <v>72</v>
      </c>
      <c r="J19" s="29"/>
      <c r="K19" s="30"/>
      <c r="L19" s="30"/>
      <c r="M19" s="30"/>
      <c r="N19" s="30"/>
      <c r="O19" s="30"/>
      <c r="P19" s="30"/>
      <c r="Q19" s="30"/>
      <c r="R19" s="36" t="s">
        <v>17</v>
      </c>
      <c r="S19" s="36" t="s">
        <v>17</v>
      </c>
      <c r="T19" s="30"/>
      <c r="U19" s="30"/>
      <c r="V19" s="30"/>
      <c r="W19" s="31"/>
      <c r="X19" s="50"/>
    </row>
    <row r="20" spans="1:24" ht="57.95" customHeight="1">
      <c r="A20" s="13" t="s">
        <v>73</v>
      </c>
      <c r="B20" s="13" t="s">
        <v>58</v>
      </c>
      <c r="C20" s="14" t="s">
        <v>74</v>
      </c>
      <c r="D20" s="13" t="s">
        <v>75</v>
      </c>
      <c r="E20" s="15">
        <v>46278</v>
      </c>
      <c r="F20" s="15">
        <v>46278</v>
      </c>
      <c r="G20" s="42">
        <v>1</v>
      </c>
      <c r="H20" s="38" t="s">
        <v>15</v>
      </c>
      <c r="I20" s="16" t="s">
        <v>76</v>
      </c>
      <c r="J20" s="29"/>
      <c r="K20" s="30"/>
      <c r="L20" s="30"/>
      <c r="M20" s="30"/>
      <c r="N20" s="30"/>
      <c r="O20" s="30"/>
      <c r="P20" s="30"/>
      <c r="Q20" s="30"/>
      <c r="R20" s="30"/>
      <c r="S20" s="36" t="s">
        <v>17</v>
      </c>
      <c r="T20" s="30"/>
      <c r="U20" s="30"/>
      <c r="V20" s="30"/>
      <c r="W20" s="31"/>
      <c r="X20" s="50"/>
    </row>
    <row r="21" spans="1:24" ht="57.95" customHeight="1">
      <c r="A21" s="13" t="s">
        <v>77</v>
      </c>
      <c r="B21" s="13" t="s">
        <v>58</v>
      </c>
      <c r="C21" s="14" t="s">
        <v>78</v>
      </c>
      <c r="D21" s="13" t="s">
        <v>68</v>
      </c>
      <c r="E21" s="15">
        <v>46279</v>
      </c>
      <c r="F21" s="15">
        <v>46279</v>
      </c>
      <c r="G21" s="42">
        <v>1</v>
      </c>
      <c r="H21" s="38" t="s">
        <v>15</v>
      </c>
      <c r="I21" s="16" t="s">
        <v>79</v>
      </c>
      <c r="J21" s="29"/>
      <c r="K21" s="30"/>
      <c r="L21" s="30"/>
      <c r="M21" s="30"/>
      <c r="N21" s="30"/>
      <c r="O21" s="30"/>
      <c r="P21" s="30"/>
      <c r="Q21" s="30"/>
      <c r="R21" s="30"/>
      <c r="S21" s="30"/>
      <c r="T21" s="36" t="s">
        <v>17</v>
      </c>
      <c r="U21" s="30"/>
      <c r="V21" s="30"/>
      <c r="W21" s="31"/>
      <c r="X21" s="50"/>
    </row>
    <row r="22" spans="1:24" ht="57.95" customHeight="1">
      <c r="A22" s="13" t="s">
        <v>80</v>
      </c>
      <c r="B22" s="13" t="s">
        <v>58</v>
      </c>
      <c r="C22" s="14" t="s">
        <v>81</v>
      </c>
      <c r="D22" s="13" t="s">
        <v>82</v>
      </c>
      <c r="E22" s="15">
        <v>46280</v>
      </c>
      <c r="F22" s="15">
        <v>46281</v>
      </c>
      <c r="G22" s="42">
        <v>2</v>
      </c>
      <c r="H22" s="38" t="s">
        <v>15</v>
      </c>
      <c r="I22" s="16" t="s">
        <v>83</v>
      </c>
      <c r="J22" s="29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6" t="s">
        <v>17</v>
      </c>
      <c r="V22" s="36" t="s">
        <v>17</v>
      </c>
      <c r="W22" s="31"/>
      <c r="X22" s="50"/>
    </row>
    <row r="23" spans="1:24" ht="72" customHeight="1">
      <c r="A23" s="17" t="s">
        <v>84</v>
      </c>
      <c r="B23" s="17" t="s">
        <v>58</v>
      </c>
      <c r="C23" s="18" t="s">
        <v>85</v>
      </c>
      <c r="D23" s="17" t="s">
        <v>86</v>
      </c>
      <c r="E23" s="19">
        <v>46280</v>
      </c>
      <c r="F23" s="19">
        <v>46282</v>
      </c>
      <c r="G23" s="43">
        <v>3</v>
      </c>
      <c r="H23" s="38" t="s">
        <v>15</v>
      </c>
      <c r="I23" s="20" t="s">
        <v>87</v>
      </c>
      <c r="J23" s="29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6" t="s">
        <v>17</v>
      </c>
      <c r="V23" s="36" t="s">
        <v>17</v>
      </c>
      <c r="W23" s="36" t="s">
        <v>17</v>
      </c>
      <c r="X23" s="50"/>
    </row>
    <row r="24" spans="1:24" ht="105" customHeight="1">
      <c r="A24" s="17" t="s">
        <v>88</v>
      </c>
      <c r="B24" s="17" t="s">
        <v>58</v>
      </c>
      <c r="C24" s="18" t="s">
        <v>89</v>
      </c>
      <c r="D24" s="17" t="s">
        <v>90</v>
      </c>
      <c r="E24" s="19">
        <v>46273</v>
      </c>
      <c r="F24" s="19">
        <v>46282</v>
      </c>
      <c r="G24" s="43">
        <v>10</v>
      </c>
      <c r="H24" s="38" t="s">
        <v>15</v>
      </c>
      <c r="I24" s="20" t="s">
        <v>91</v>
      </c>
      <c r="J24" s="29"/>
      <c r="K24" s="30"/>
      <c r="L24" s="30"/>
      <c r="M24" s="30"/>
      <c r="N24" s="36" t="s">
        <v>17</v>
      </c>
      <c r="O24" s="36" t="s">
        <v>17</v>
      </c>
      <c r="P24" s="36" t="s">
        <v>17</v>
      </c>
      <c r="Q24" s="36" t="s">
        <v>17</v>
      </c>
      <c r="R24" s="36" t="s">
        <v>17</v>
      </c>
      <c r="S24" s="36" t="s">
        <v>17</v>
      </c>
      <c r="T24" s="36" t="s">
        <v>17</v>
      </c>
      <c r="U24" s="36" t="s">
        <v>17</v>
      </c>
      <c r="V24" s="36" t="s">
        <v>17</v>
      </c>
      <c r="W24" s="36" t="s">
        <v>17</v>
      </c>
      <c r="X24" s="50"/>
    </row>
    <row r="25" spans="1:24" ht="66" customHeight="1">
      <c r="A25" s="17" t="s">
        <v>92</v>
      </c>
      <c r="B25" s="17" t="s">
        <v>93</v>
      </c>
      <c r="C25" s="18" t="s">
        <v>94</v>
      </c>
      <c r="D25" s="17" t="s">
        <v>95</v>
      </c>
      <c r="E25" s="19">
        <v>46279</v>
      </c>
      <c r="F25" s="19">
        <v>46282</v>
      </c>
      <c r="G25" s="43">
        <v>4</v>
      </c>
      <c r="H25" s="38" t="s">
        <v>15</v>
      </c>
      <c r="I25" s="20" t="s">
        <v>96</v>
      </c>
      <c r="J25" s="29"/>
      <c r="K25" s="30"/>
      <c r="L25" s="30"/>
      <c r="M25" s="30"/>
      <c r="N25" s="30"/>
      <c r="O25" s="30"/>
      <c r="P25" s="30"/>
      <c r="Q25" s="30"/>
      <c r="R25" s="30"/>
      <c r="S25" s="30"/>
      <c r="T25" s="36" t="s">
        <v>17</v>
      </c>
      <c r="U25" s="36" t="s">
        <v>17</v>
      </c>
      <c r="V25" s="36" t="s">
        <v>17</v>
      </c>
      <c r="W25" s="36" t="s">
        <v>17</v>
      </c>
      <c r="X25" s="50"/>
    </row>
    <row r="26" spans="1:24" ht="72" customHeight="1">
      <c r="A26" s="17" t="s">
        <v>97</v>
      </c>
      <c r="B26" s="17" t="s">
        <v>93</v>
      </c>
      <c r="C26" s="18" t="s">
        <v>98</v>
      </c>
      <c r="D26" s="17" t="s">
        <v>99</v>
      </c>
      <c r="E26" s="19">
        <v>46279</v>
      </c>
      <c r="F26" s="19">
        <v>46282</v>
      </c>
      <c r="G26" s="43">
        <v>4</v>
      </c>
      <c r="H26" s="38" t="s">
        <v>15</v>
      </c>
      <c r="I26" s="20" t="s">
        <v>100</v>
      </c>
      <c r="J26" s="29"/>
      <c r="K26" s="30"/>
      <c r="L26" s="30"/>
      <c r="M26" s="30"/>
      <c r="N26" s="30"/>
      <c r="O26" s="30"/>
      <c r="P26" s="30"/>
      <c r="Q26" s="30"/>
      <c r="R26" s="30"/>
      <c r="S26" s="30"/>
      <c r="T26" s="36" t="s">
        <v>17</v>
      </c>
      <c r="U26" s="36" t="s">
        <v>17</v>
      </c>
      <c r="V26" s="36" t="s">
        <v>17</v>
      </c>
      <c r="W26" s="36" t="s">
        <v>17</v>
      </c>
      <c r="X26" s="50"/>
    </row>
    <row r="27" spans="1:24" ht="66" customHeight="1">
      <c r="A27" s="17" t="s">
        <v>101</v>
      </c>
      <c r="B27" s="17" t="s">
        <v>93</v>
      </c>
      <c r="C27" s="18" t="s">
        <v>102</v>
      </c>
      <c r="D27" s="17" t="s">
        <v>103</v>
      </c>
      <c r="E27" s="19">
        <v>46280</v>
      </c>
      <c r="F27" s="19">
        <v>46280</v>
      </c>
      <c r="G27" s="43">
        <v>1</v>
      </c>
      <c r="H27" s="38" t="s">
        <v>15</v>
      </c>
      <c r="I27" s="20" t="s">
        <v>104</v>
      </c>
      <c r="J27" s="29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6" t="s">
        <v>17</v>
      </c>
      <c r="V27" s="30"/>
      <c r="W27" s="31"/>
      <c r="X27" s="50"/>
    </row>
    <row r="28" spans="1:24" ht="57.95" customHeight="1">
      <c r="A28" s="21" t="s">
        <v>105</v>
      </c>
      <c r="B28" s="21" t="s">
        <v>93</v>
      </c>
      <c r="C28" s="22" t="s">
        <v>106</v>
      </c>
      <c r="D28" s="21" t="s">
        <v>107</v>
      </c>
      <c r="E28" s="23">
        <v>46280</v>
      </c>
      <c r="F28" s="23">
        <v>46281</v>
      </c>
      <c r="G28" s="44">
        <v>2</v>
      </c>
      <c r="H28" s="38" t="s">
        <v>15</v>
      </c>
      <c r="I28" s="24" t="s">
        <v>108</v>
      </c>
      <c r="J28" s="29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6" t="s">
        <v>17</v>
      </c>
      <c r="V28" s="36" t="s">
        <v>17</v>
      </c>
      <c r="W28" s="31"/>
      <c r="X28" s="50"/>
    </row>
    <row r="29" spans="1:24" ht="81.95" customHeight="1">
      <c r="A29" s="21" t="s">
        <v>109</v>
      </c>
      <c r="B29" s="21" t="s">
        <v>93</v>
      </c>
      <c r="C29" s="22" t="s">
        <v>110</v>
      </c>
      <c r="D29" s="21" t="s">
        <v>111</v>
      </c>
      <c r="E29" s="23">
        <v>46281</v>
      </c>
      <c r="F29" s="23">
        <v>46282</v>
      </c>
      <c r="G29" s="44">
        <v>2</v>
      </c>
      <c r="H29" s="38" t="s">
        <v>15</v>
      </c>
      <c r="I29" s="24" t="s">
        <v>112</v>
      </c>
      <c r="J29" s="29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6" t="s">
        <v>17</v>
      </c>
      <c r="W29" s="36" t="s">
        <v>17</v>
      </c>
      <c r="X29" s="50"/>
    </row>
    <row r="30" spans="1:24" ht="81.95" customHeight="1">
      <c r="A30" s="21" t="s">
        <v>113</v>
      </c>
      <c r="B30" s="21" t="s">
        <v>114</v>
      </c>
      <c r="C30" s="22" t="s">
        <v>115</v>
      </c>
      <c r="D30" s="21" t="s">
        <v>116</v>
      </c>
      <c r="E30" s="23">
        <v>46279</v>
      </c>
      <c r="F30" s="23">
        <v>46282</v>
      </c>
      <c r="G30" s="44">
        <v>4</v>
      </c>
      <c r="H30" s="38" t="s">
        <v>15</v>
      </c>
      <c r="I30" s="24" t="s">
        <v>117</v>
      </c>
      <c r="J30" s="29"/>
      <c r="K30" s="30"/>
      <c r="L30" s="30"/>
      <c r="M30" s="30"/>
      <c r="N30" s="30"/>
      <c r="O30" s="30"/>
      <c r="P30" s="30"/>
      <c r="Q30" s="30"/>
      <c r="R30" s="30"/>
      <c r="S30" s="30"/>
      <c r="T30" s="36" t="s">
        <v>17</v>
      </c>
      <c r="U30" s="36" t="s">
        <v>17</v>
      </c>
      <c r="V30" s="36" t="s">
        <v>17</v>
      </c>
      <c r="W30" s="36" t="s">
        <v>17</v>
      </c>
      <c r="X30" s="50"/>
    </row>
    <row r="31" spans="1:24" ht="81.95" customHeight="1">
      <c r="A31" s="21" t="s">
        <v>118</v>
      </c>
      <c r="B31" s="21" t="s">
        <v>114</v>
      </c>
      <c r="C31" s="22" t="s">
        <v>119</v>
      </c>
      <c r="D31" s="21" t="s">
        <v>120</v>
      </c>
      <c r="E31" s="23">
        <v>46280</v>
      </c>
      <c r="F31" s="23">
        <v>46282</v>
      </c>
      <c r="G31" s="44">
        <v>3</v>
      </c>
      <c r="H31" s="38" t="s">
        <v>15</v>
      </c>
      <c r="I31" s="24" t="s">
        <v>121</v>
      </c>
      <c r="J31" s="29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6" t="s">
        <v>17</v>
      </c>
      <c r="V31" s="36" t="s">
        <v>17</v>
      </c>
      <c r="W31" s="36" t="s">
        <v>17</v>
      </c>
      <c r="X31" s="50"/>
    </row>
    <row r="32" spans="1:24" ht="90" customHeight="1">
      <c r="A32" s="21" t="s">
        <v>122</v>
      </c>
      <c r="B32" s="21" t="s">
        <v>114</v>
      </c>
      <c r="C32" s="22" t="s">
        <v>123</v>
      </c>
      <c r="D32" s="21" t="s">
        <v>124</v>
      </c>
      <c r="E32" s="23">
        <v>46279</v>
      </c>
      <c r="F32" s="23">
        <v>46282</v>
      </c>
      <c r="G32" s="44">
        <v>4</v>
      </c>
      <c r="H32" s="38" t="s">
        <v>15</v>
      </c>
      <c r="I32" s="24" t="s">
        <v>125</v>
      </c>
      <c r="J32" s="29"/>
      <c r="K32" s="30"/>
      <c r="L32" s="30"/>
      <c r="M32" s="30"/>
      <c r="N32" s="30"/>
      <c r="O32" s="30"/>
      <c r="P32" s="30"/>
      <c r="Q32" s="30"/>
      <c r="R32" s="30"/>
      <c r="S32" s="30"/>
      <c r="T32" s="36" t="s">
        <v>17</v>
      </c>
      <c r="U32" s="36" t="s">
        <v>17</v>
      </c>
      <c r="V32" s="36" t="s">
        <v>17</v>
      </c>
      <c r="W32" s="36" t="s">
        <v>17</v>
      </c>
      <c r="X32" s="50"/>
    </row>
    <row r="33" spans="1:24" ht="75.95" customHeight="1">
      <c r="A33" s="2" t="s">
        <v>126</v>
      </c>
      <c r="B33" s="2" t="s">
        <v>114</v>
      </c>
      <c r="C33" s="2" t="s">
        <v>127</v>
      </c>
      <c r="D33" s="2" t="s">
        <v>128</v>
      </c>
      <c r="E33" s="3">
        <v>46279</v>
      </c>
      <c r="F33" s="3">
        <v>46282</v>
      </c>
      <c r="G33" s="45">
        <v>4</v>
      </c>
      <c r="H33" s="39" t="s">
        <v>15</v>
      </c>
      <c r="I33" s="2" t="s">
        <v>129</v>
      </c>
      <c r="J33" s="34"/>
      <c r="K33" s="32"/>
      <c r="L33" s="32"/>
      <c r="M33" s="32"/>
      <c r="N33" s="32"/>
      <c r="O33" s="32"/>
      <c r="P33" s="32"/>
      <c r="Q33" s="32"/>
      <c r="R33" s="32"/>
      <c r="S33" s="32"/>
      <c r="T33" s="37" t="s">
        <v>17</v>
      </c>
      <c r="U33" s="37" t="s">
        <v>17</v>
      </c>
      <c r="V33" s="37" t="s">
        <v>17</v>
      </c>
      <c r="W33" s="37" t="s">
        <v>17</v>
      </c>
      <c r="X33" s="50"/>
    </row>
    <row r="34" spans="1:24" ht="57.95" customHeight="1">
      <c r="A34" s="2" t="s">
        <v>130</v>
      </c>
      <c r="B34" s="2" t="s">
        <v>114</v>
      </c>
      <c r="C34" s="2" t="s">
        <v>131</v>
      </c>
      <c r="D34" s="2" t="s">
        <v>132</v>
      </c>
      <c r="E34" s="3">
        <v>46281</v>
      </c>
      <c r="F34" s="3">
        <v>46282</v>
      </c>
      <c r="G34" s="45">
        <v>2</v>
      </c>
      <c r="H34" s="39" t="s">
        <v>15</v>
      </c>
      <c r="I34" s="2" t="s">
        <v>133</v>
      </c>
      <c r="J34" s="34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7" t="s">
        <v>17</v>
      </c>
      <c r="W34" s="37" t="s">
        <v>17</v>
      </c>
      <c r="X34" s="50"/>
    </row>
    <row r="35" spans="1:24" ht="81.95" customHeight="1">
      <c r="A35" s="2" t="s">
        <v>134</v>
      </c>
      <c r="B35" s="2" t="s">
        <v>114</v>
      </c>
      <c r="C35" s="2" t="s">
        <v>135</v>
      </c>
      <c r="D35" s="2" t="s">
        <v>136</v>
      </c>
      <c r="E35" s="3">
        <v>46281</v>
      </c>
      <c r="F35" s="3">
        <v>46283</v>
      </c>
      <c r="G35" s="45">
        <v>3</v>
      </c>
      <c r="H35" s="39" t="s">
        <v>15</v>
      </c>
      <c r="I35" s="2" t="s">
        <v>137</v>
      </c>
      <c r="J35" s="35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7" t="s">
        <v>17</v>
      </c>
      <c r="W35" s="37" t="s">
        <v>17</v>
      </c>
      <c r="X35" s="69" t="s">
        <v>17</v>
      </c>
    </row>
    <row r="36" spans="1:24" ht="62.1" customHeight="1">
      <c r="A36" s="51" t="s">
        <v>138</v>
      </c>
      <c r="B36" s="52" t="s">
        <v>139</v>
      </c>
      <c r="C36" s="52" t="s">
        <v>140</v>
      </c>
      <c r="D36" s="52" t="s">
        <v>141</v>
      </c>
      <c r="E36" s="60">
        <v>46283</v>
      </c>
      <c r="F36" s="60">
        <v>46283</v>
      </c>
      <c r="G36" s="63">
        <v>1</v>
      </c>
      <c r="H36" s="70" t="s">
        <v>15</v>
      </c>
      <c r="I36" s="53" t="s">
        <v>142</v>
      </c>
      <c r="J36" s="66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8" t="s">
        <v>17</v>
      </c>
    </row>
    <row r="37" spans="1:24" ht="92.1" customHeight="1">
      <c r="A37" s="54" t="s">
        <v>143</v>
      </c>
      <c r="B37" s="55" t="s">
        <v>139</v>
      </c>
      <c r="C37" s="55" t="s">
        <v>144</v>
      </c>
      <c r="D37" s="55" t="s">
        <v>99</v>
      </c>
      <c r="E37" s="61">
        <v>46283</v>
      </c>
      <c r="F37" s="61">
        <v>46283</v>
      </c>
      <c r="G37" s="64">
        <v>1</v>
      </c>
      <c r="H37" s="71" t="s">
        <v>15</v>
      </c>
      <c r="I37" s="56" t="s">
        <v>145</v>
      </c>
      <c r="J37" s="66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8" t="s">
        <v>17</v>
      </c>
    </row>
    <row r="38" spans="1:24" ht="72" customHeight="1">
      <c r="A38" s="54" t="s">
        <v>146</v>
      </c>
      <c r="B38" s="55" t="s">
        <v>139</v>
      </c>
      <c r="C38" s="55" t="s">
        <v>147</v>
      </c>
      <c r="D38" s="55" t="s">
        <v>148</v>
      </c>
      <c r="E38" s="61">
        <v>46283</v>
      </c>
      <c r="F38" s="61">
        <v>46283</v>
      </c>
      <c r="G38" s="64">
        <v>1</v>
      </c>
      <c r="H38" s="71" t="s">
        <v>15</v>
      </c>
      <c r="I38" s="56" t="s">
        <v>149</v>
      </c>
      <c r="J38" s="66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8" t="s">
        <v>17</v>
      </c>
    </row>
    <row r="39" spans="1:24" ht="87.95" customHeight="1">
      <c r="A39" s="57" t="s">
        <v>150</v>
      </c>
      <c r="B39" s="58" t="s">
        <v>139</v>
      </c>
      <c r="C39" s="58" t="s">
        <v>151</v>
      </c>
      <c r="D39" s="58" t="s">
        <v>152</v>
      </c>
      <c r="E39" s="62">
        <v>46283</v>
      </c>
      <c r="F39" s="62">
        <v>46283</v>
      </c>
      <c r="G39" s="65">
        <v>1</v>
      </c>
      <c r="H39" s="72" t="s">
        <v>174</v>
      </c>
      <c r="I39" s="59" t="s">
        <v>154</v>
      </c>
      <c r="J39" s="66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8" t="s">
        <v>17</v>
      </c>
    </row>
  </sheetData>
  <mergeCells count="2">
    <mergeCell ref="A1:W1"/>
    <mergeCell ref="A2:W2"/>
  </mergeCells>
  <phoneticPr fontId="12" type="noConversion"/>
  <dataValidations count="1">
    <dataValidation type="list" sqref="H5:H32" xr:uid="{00000000-0002-0000-0000-000000000000}">
      <formula1>"완료,진행중,예정,보류"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/>
  </sheetViews>
  <sheetFormatPr defaultRowHeight="14.25"/>
  <cols>
    <col min="1" max="1" width="19" customWidth="1"/>
    <col min="2" max="2" width="50" customWidth="1"/>
    <col min="3" max="3" width="3" customWidth="1"/>
    <col min="4" max="4" width="18" customWidth="1"/>
    <col min="5" max="7" width="10" customWidth="1"/>
    <col min="8" max="8" width="12" customWidth="1"/>
  </cols>
  <sheetData>
    <row r="1" spans="1:8" ht="19.5">
      <c r="A1" s="75" t="s">
        <v>155</v>
      </c>
      <c r="B1" s="75"/>
      <c r="C1" s="75"/>
      <c r="D1" s="75"/>
      <c r="E1" s="75"/>
      <c r="F1" s="75"/>
      <c r="G1" s="75"/>
      <c r="H1" s="75"/>
    </row>
    <row r="3" spans="1:8">
      <c r="A3" s="1" t="s">
        <v>156</v>
      </c>
      <c r="B3" s="1" t="s">
        <v>157</v>
      </c>
      <c r="C3" s="1"/>
      <c r="D3" s="1" t="s">
        <v>158</v>
      </c>
      <c r="E3" s="1" t="s">
        <v>15</v>
      </c>
      <c r="F3" s="1" t="s">
        <v>153</v>
      </c>
      <c r="G3" s="1" t="s">
        <v>159</v>
      </c>
      <c r="H3" s="1" t="s">
        <v>160</v>
      </c>
    </row>
    <row r="4" spans="1:8" ht="15">
      <c r="A4" s="25" t="s">
        <v>161</v>
      </c>
      <c r="B4" t="s">
        <v>162</v>
      </c>
      <c r="D4">
        <f>COUNTA(WBS!A5:A32)</f>
        <v>28</v>
      </c>
      <c r="E4">
        <f>COUNTIF(WBS!H5:H32,"완료")</f>
        <v>28</v>
      </c>
      <c r="F4">
        <f>COUNTIF(WBS!H5:H32,"진행중")</f>
        <v>0</v>
      </c>
      <c r="G4">
        <f>COUNTIF(WBS!H5:H32,"예정")</f>
        <v>0</v>
      </c>
      <c r="H4" s="26">
        <f>E4/D4</f>
        <v>1</v>
      </c>
    </row>
    <row r="5" spans="1:8" ht="15">
      <c r="A5" s="25" t="s">
        <v>163</v>
      </c>
      <c r="B5" t="s">
        <v>164</v>
      </c>
    </row>
    <row r="6" spans="1:8" ht="15">
      <c r="A6" s="25" t="s">
        <v>165</v>
      </c>
      <c r="B6" t="s">
        <v>166</v>
      </c>
    </row>
    <row r="7" spans="1:8" ht="15">
      <c r="A7" s="25" t="s">
        <v>167</v>
      </c>
      <c r="B7" t="s">
        <v>168</v>
      </c>
      <c r="D7" s="1" t="s">
        <v>3</v>
      </c>
      <c r="E7" s="1" t="s">
        <v>169</v>
      </c>
      <c r="F7" s="1" t="s">
        <v>170</v>
      </c>
    </row>
    <row r="8" spans="1:8">
      <c r="D8" t="s">
        <v>171</v>
      </c>
      <c r="E8">
        <v>5</v>
      </c>
      <c r="F8">
        <v>4</v>
      </c>
    </row>
    <row r="9" spans="1:8">
      <c r="D9" t="s">
        <v>36</v>
      </c>
      <c r="E9">
        <v>5</v>
      </c>
      <c r="F9">
        <v>5</v>
      </c>
    </row>
    <row r="10" spans="1:8">
      <c r="A10" s="76" t="s">
        <v>172</v>
      </c>
      <c r="B10" s="76"/>
      <c r="D10" t="s">
        <v>58</v>
      </c>
      <c r="E10">
        <v>8</v>
      </c>
      <c r="F10">
        <v>6</v>
      </c>
    </row>
    <row r="11" spans="1:8">
      <c r="A11" s="77" t="s">
        <v>173</v>
      </c>
      <c r="B11" s="77"/>
      <c r="D11" t="s">
        <v>93</v>
      </c>
      <c r="E11">
        <v>5</v>
      </c>
      <c r="F11">
        <v>2</v>
      </c>
    </row>
    <row r="12" spans="1:8">
      <c r="A12" s="77"/>
      <c r="B12" s="77"/>
      <c r="D12" t="s">
        <v>114</v>
      </c>
      <c r="E12">
        <v>5</v>
      </c>
      <c r="F12">
        <v>0</v>
      </c>
    </row>
  </sheetData>
  <mergeCells count="3">
    <mergeCell ref="A1:H1"/>
    <mergeCell ref="A10:B10"/>
    <mergeCell ref="A11:B12"/>
  </mergeCells>
  <phoneticPr fontId="1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2026-09-18T03:47:58Z</dcterms:modified>
</cp:coreProperties>
</file>