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a8a44da58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b9a97157fe954bc7"/>
    <x:sheet xmlns:r="http://schemas.openxmlformats.org/officeDocument/2006/relationships" name="요약" sheetId="2" r:id="Rd2b36243ccd8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-d"/>
    <x:numFmt numFmtId="201" formatCode="m/d"/>
    <x:numFmt numFmtId="202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4E78"/>
      <x:name val="Carlito"/>
    </x:font>
    <x:font>
      <x:b/>
      <x:sz val="9"/>
      <x:color rgb="FFFFFFFF"/>
      <x:name val="Carlito"/>
    </x:font>
    <x:font>
      <x:b/>
      <x:sz val="10"/>
      <x:color rgb="FF375623"/>
      <x:name val="Carlito"/>
    </x:font>
    <x:font>
      <x:b/>
      <x:sz val="10"/>
      <x:color rgb="FF7F6000"/>
      <x:name val="Carlito"/>
    </x:font>
    <x:font>
      <x:sz val="10"/>
      <x:color rgb="FF000000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FFE699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201" fontId="0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201" fontId="0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left" vertical="center" wrapText="1"/>
    </x:xf>
    <x:xf numFmtId="0" fontId="0" fillId="7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201" fontId="0" fillId="8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0" fillId="8" borderId="1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201" fontId="0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201" fontId="0" fillId="9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left" vertical="center" wrapText="1"/>
    </x:xf>
    <x:xf numFmtId="0" fontId="0" fillId="9" borderId="1" xfId="0" applyNumberFormat="1" applyFont="1" applyFill="1" applyBorder="1" applyAlignment="1">
      <x:alignment horizontal="left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vertical="center" wrapText="1"/>
    </x:xf>
    <x:xf numFmtId="0" fontId="6" fillId="11" borderId="1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left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201" fontId="0" fillId="6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horizontal="left" vertic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201" fontId="0" fillId="7" borderId="2" xfId="0" applyNumberFormat="1" applyFont="1" applyFill="1" applyBorder="1" applyAlignment="1">
      <x:alignment horizontal="center" vertical="center" wrapText="1"/>
    </x:xf>
    <x:xf numFmtId="0" fontId="0" fillId="7" borderId="2" xfId="0" applyNumberFormat="1" applyFont="1" applyFill="1" applyBorder="1" applyAlignment="1">
      <x:alignment horizontal="left" vertical="center" wrapText="1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201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horizontal="left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201" fontId="0" fillId="9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201" fontId="0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left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center" wrapText="1"/>
    </x:xf>
    <x:xf numFmtId="201" fontId="0" fillId="6" borderId="3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left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201" fontId="0" fillId="7" borderId="3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left" vertical="center" wrapText="1"/>
    </x:xf>
    <x:xf numFmtId="0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201" fontId="0" fillId="8" borderId="3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vertical="center" wrapText="1"/>
    </x:xf>
    <x:xf numFmtId="201" fontId="0" fillId="9" borderId="3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left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5" fillId="13" borderId="2" xfId="0" applyNumberFormat="1" applyFont="1" applyFill="1" applyBorder="1" applyAlignment="1">
      <x:alignment horizontal="center" vertical="center" wrapText="1"/>
    </x:xf>
    <x:xf numFmtId="0" fontId="4" fillId="13" borderId="2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d91482ac9474d" /><Relationship Type="http://schemas.openxmlformats.org/officeDocument/2006/relationships/theme" Target="/xl/theme/theme1.xml" Id="R1a6cba667f5a44b9" /><Relationship Type="http://schemas.openxmlformats.org/officeDocument/2006/relationships/sharedStrings" Target="/xl/sharedStrings.xml" Id="R0ade8c622c25475a" /><Relationship Type="http://schemas.openxmlformats.org/officeDocument/2006/relationships/worksheet" Target="/xl/worksheets/sheet1.xml" Id="Rb9a97157fe954bc7" /><Relationship Type="http://schemas.openxmlformats.org/officeDocument/2006/relationships/worksheet" Target="/xl/worksheets/sheet2.xml" Id="Rd2b36243ccd8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41" hidden="0" customWidth="1"/>
    <x:col min="4" max="4" width="36" hidden="0" customWidth="1"/>
    <x:col min="5" max="5" width="9" hidden="0" customWidth="1"/>
    <x:col min="6" max="6" width="9" hidden="0" customWidth="1"/>
    <x:col min="7" max="7" width="8" hidden="0" customWidth="1"/>
    <x:col min="8" max="8" width="9" hidden="0" customWidth="1"/>
    <x:col min="9" max="9" width="40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</x:cols>
  <x:sheetData>
    <x:row r="1" ht="26" customHeight="1">
      <x:c r="A1" s="5" t="str">
        <x:v>감정인식 프로젝트 WBS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22" customHeight="1">
      <x:c r="A2" s="13" t="str">
        <x:v>기간: 2026.09.04 ~ 2026.09.17  |  대상: 7개 감정 클래스(기쁨·당황·분노·불안·상처·슬픔·중립)  |  발표: 9/16~9/17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</x:row>
    <x:row r="4" ht="22" customHeight="1">
      <x:c r="A4" s="106" t="str">
        <x:v>WBS ID</x:v>
      </x:c>
      <x:c r="B4" s="106" t="str">
        <x:v>대분류</x:v>
      </x:c>
      <x:c r="C4" s="106" t="str">
        <x:v>세부 작업</x:v>
      </x:c>
      <x:c r="D4" s="106" t="str">
        <x:v>담당</x:v>
      </x:c>
      <x:c r="E4" s="106" t="str">
        <x:v>시작일</x:v>
      </x:c>
      <x:c r="F4" s="106" t="str">
        <x:v>종료일</x:v>
      </x:c>
      <x:c r="G4" s="106" t="str">
        <x:v>기간(일)</x:v>
      </x:c>
      <x:c r="H4" s="106" t="str">
        <x:v>상태</x:v>
      </x:c>
      <x:c r="I4" s="106" t="str">
        <x:v>산출물/비고</x:v>
      </x:c>
      <x:c r="J4" s="28" t="n">
        <x:v>46269</x:v>
      </x:c>
      <x:c r="K4" s="28" t="n">
        <x:v>46270</x:v>
      </x:c>
      <x:c r="L4" s="28" t="n">
        <x:v>46271</x:v>
      </x:c>
      <x:c r="M4" s="28" t="n">
        <x:v>46272</x:v>
      </x:c>
      <x:c r="N4" s="28" t="n">
        <x:v>46273</x:v>
      </x:c>
      <x:c r="O4" s="28" t="n">
        <x:v>46274</x:v>
      </x:c>
      <x:c r="P4" s="28" t="n">
        <x:v>46275</x:v>
      </x:c>
      <x:c r="Q4" s="28" t="n">
        <x:v>46276</x:v>
      </x:c>
      <x:c r="R4" s="28" t="n">
        <x:v>46277</x:v>
      </x:c>
      <x:c r="S4" s="28" t="n">
        <x:v>46278</x:v>
      </x:c>
      <x:c r="T4" s="28" t="n">
        <x:v>46279</x:v>
      </x:c>
      <x:c r="U4" s="28" t="n">
        <x:v>46280</x:v>
      </x:c>
      <x:c r="V4" s="28" t="n">
        <x:v>46281</x:v>
      </x:c>
      <x:c r="W4" s="28" t="n">
        <x:v>46282</x:v>
      </x:c>
    </x:row>
    <x:row r="5" ht="54" hidden="0" customHeight="1">
      <x:c r="A5" s="107" t="str">
        <x:v>1.1</x:v>
      </x:c>
      <x:c r="B5" s="107" t="str">
        <x:v>기획·환경</x:v>
      </x:c>
      <x:c r="C5" s="108" t="str">
        <x:v>프로젝트 공식 착수 및 주제·초기 역할 확정</x:v>
      </x:c>
      <x:c r="D5" s="107" t="str">
        <x:v>오석(팀장·총괄 조율) / 팀 전원</x:v>
      </x:c>
      <x:c r="E5" s="109" t="n">
        <x:v>46269</x:v>
      </x:c>
      <x:c r="F5" s="109" t="n">
        <x:v>46269</x:v>
      </x:c>
      <x:c r="G5" s="107" t="n">
        <x:v>1</x:v>
      </x:c>
      <x:c r="H5" s="110" t="str">
        <x:v>완료</x:v>
      </x:c>
      <x:c r="I5" s="111" t="str">
        <x:v>공식 1차 회의 / 역할 정리 / 09.03 비공식 사전 논의 제외</x:v>
      </x:c>
      <x:c r="J5" s="103" t="str">
        <x:v>●</x:v>
      </x:c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</x:row>
    <x:row r="6" ht="64" hidden="0" customHeight="1">
      <x:c r="A6" s="107" t="str">
        <x:v>1.2</x:v>
      </x:c>
      <x:c r="B6" s="107" t="str">
        <x:v>기획·환경</x:v>
      </x:c>
      <x:c r="C6" s="108" t="str">
        <x:v>샘플 데이터 및 AI-Hub 본 데이터 구조·라벨·BBox 분석</x:v>
      </x:c>
      <x:c r="D6" s="107" t="str">
        <x:v>정준영(주) / 김범영(전처리 보조) / 오석(조율)</x:v>
      </x:c>
      <x:c r="E6" s="109" t="n">
        <x:v>46270</x:v>
      </x:c>
      <x:c r="F6" s="109" t="n">
        <x:v>46272</x:v>
      </x:c>
      <x:c r="G6" s="107" t="n">
        <x:v>3</x:v>
      </x:c>
      <x:c r="H6" s="110" t="str">
        <x:v>완료</x:v>
      </x:c>
      <x:c r="I6" s="111" t="str">
        <x:v>7개 감정 클래스·데이터 구조 확인 / 일지 09.05~07</x:v>
      </x:c>
      <x:c r="J6" s="98"/>
      <x:c r="K6" s="103" t="str">
        <x:v>●</x:v>
      </x:c>
      <x:c r="L6" s="103" t="str">
        <x:v>●</x:v>
      </x:c>
      <x:c r="M6" s="103" t="str">
        <x:v>●</x:v>
      </x:c>
      <x:c r="N6" s="98"/>
      <x:c r="O6" s="98"/>
      <x:c r="P6" s="98"/>
      <x:c r="Q6" s="98"/>
      <x:c r="R6" s="98"/>
      <x:c r="S6" s="98"/>
      <x:c r="T6" s="98"/>
      <x:c r="U6" s="98"/>
      <x:c r="V6" s="98"/>
      <x:c r="W6" s="98"/>
    </x:row>
    <x:row r="7" ht="54" hidden="0" customHeight="1">
      <x:c r="A7" s="107" t="str">
        <x:v>1.3</x:v>
      </x:c>
      <x:c r="B7" s="107" t="str">
        <x:v>기획·환경</x:v>
      </x:c>
      <x:c r="C7" s="108" t="str">
        <x:v>모델 후보·grayscale 적용 및 데이터 축소 방향 논의</x:v>
      </x:c>
      <x:c r="D7" s="107" t="str">
        <x:v>오석(팀장·조율) / 팀 전원</x:v>
      </x:c>
      <x:c r="E7" s="109" t="n">
        <x:v>46273</x:v>
      </x:c>
      <x:c r="F7" s="109" t="n">
        <x:v>46273</x:v>
      </x:c>
      <x:c r="G7" s="107" t="n">
        <x:v>1</x:v>
      </x:c>
      <x:c r="H7" s="110" t="str">
        <x:v>완료</x:v>
      </x:c>
      <x:c r="I7" s="111" t="str">
        <x:v>초기 후보·비교 실험 방향 확정 / 회의 09.08</x:v>
      </x:c>
      <x:c r="J7" s="98"/>
      <x:c r="K7" s="98"/>
      <x:c r="L7" s="98"/>
      <x:c r="M7" s="98"/>
      <x:c r="N7" s="103" t="str">
        <x:v>●</x:v>
      </x:c>
      <x:c r="O7" s="98"/>
      <x:c r="P7" s="98"/>
      <x:c r="Q7" s="98"/>
      <x:c r="R7" s="98"/>
      <x:c r="S7" s="98"/>
      <x:c r="T7" s="98"/>
      <x:c r="U7" s="98"/>
      <x:c r="V7" s="98"/>
      <x:c r="W7" s="98"/>
    </x:row>
    <x:row r="8" ht="64" hidden="0" customHeight="1">
      <x:c r="A8" s="107" t="str">
        <x:v>1.4</x:v>
      </x:c>
      <x:c r="B8" s="107" t="str">
        <x:v>기획·문서</x:v>
      </x:c>
      <x:c r="C8" s="108" t="str">
        <x:v>수행계획서·WBS·요구사항명세서 정비</x:v>
      </x:c>
      <x:c r="D8" s="107" t="str">
        <x:v>정준영(문서 작성) / 오석·김범영(검토)</x:v>
      </x:c>
      <x:c r="E8" s="109" t="n">
        <x:v>46272</x:v>
      </x:c>
      <x:c r="F8" s="109" t="n">
        <x:v>46281</x:v>
      </x:c>
      <x:c r="G8" s="107" t="n">
        <x:v>10</x:v>
      </x:c>
      <x:c r="H8" s="110" t="str">
        <x:v>완료</x:v>
      </x:c>
      <x:c r="I8" s="111" t="str">
        <x:v>수행계획서·WBS·요구사항명세서 / 09.16 최신 진행상황 반영</x:v>
      </x:c>
      <x:c r="J8" s="98"/>
      <x:c r="K8" s="98"/>
      <x:c r="L8" s="98"/>
      <x:c r="M8" s="103" t="str">
        <x:v>●</x:v>
      </x:c>
      <x:c r="N8" s="103" t="str">
        <x:v>●</x:v>
      </x:c>
      <x:c r="O8" s="103" t="str">
        <x:v>●</x:v>
      </x:c>
      <x:c r="P8" s="103" t="str">
        <x:v>●</x:v>
      </x:c>
      <x:c r="Q8" s="103" t="str">
        <x:v>●</x:v>
      </x:c>
      <x:c r="R8" s="103" t="str">
        <x:v>●</x:v>
      </x:c>
      <x:c r="S8" s="103" t="str">
        <x:v>●</x:v>
      </x:c>
      <x:c r="T8" s="103" t="str">
        <x:v>●</x:v>
      </x:c>
      <x:c r="U8" s="103" t="str">
        <x:v>●</x:v>
      </x:c>
      <x:c r="V8" s="103" t="str">
        <x:v>●</x:v>
      </x:c>
      <x:c r="W8" s="98"/>
    </x:row>
    <x:row r="9" ht="54" hidden="0" customHeight="1">
      <x:c r="A9" s="107" t="str">
        <x:v>1.5</x:v>
      </x:c>
      <x:c r="B9" s="107" t="str">
        <x:v>기획·문서</x:v>
      </x:c>
      <x:c r="C9" s="108" t="str">
        <x:v>프로젝트 일지·회의록 지속 작성 및 회의사진 반영</x:v>
      </x:c>
      <x:c r="D9" s="107" t="str">
        <x:v>정준영(기록) / 팀 전원(내용 확인)</x:v>
      </x:c>
      <x:c r="E9" s="109" t="n">
        <x:v>46269</x:v>
      </x:c>
      <x:c r="F9" s="109" t="n">
        <x:v>46282</x:v>
      </x:c>
      <x:c r="G9" s="107" t="n">
        <x:v>14</x:v>
      </x:c>
      <x:c r="H9" s="112" t="str">
        <x:v>진행중</x:v>
      </x:c>
      <x:c r="I9" s="111" t="str">
        <x:v>프로젝트 일지/회의록 / 공식 기록 09.04부터</x:v>
      </x:c>
      <x:c r="J9" s="103" t="str">
        <x:v>●</x:v>
      </x:c>
      <x:c r="K9" s="103" t="str">
        <x:v>●</x:v>
      </x:c>
      <x:c r="L9" s="103" t="str">
        <x:v>●</x:v>
      </x:c>
      <x:c r="M9" s="103" t="str">
        <x:v>●</x:v>
      </x:c>
      <x:c r="N9" s="103" t="str">
        <x:v>●</x:v>
      </x:c>
      <x:c r="O9" s="103" t="str">
        <x:v>●</x:v>
      </x:c>
      <x:c r="P9" s="103" t="str">
        <x:v>●</x:v>
      </x:c>
      <x:c r="Q9" s="103" t="str">
        <x:v>●</x:v>
      </x:c>
      <x:c r="R9" s="103" t="str">
        <x:v>●</x:v>
      </x:c>
      <x:c r="S9" s="103" t="str">
        <x:v>●</x:v>
      </x:c>
      <x:c r="T9" s="103" t="str">
        <x:v>●</x:v>
      </x:c>
      <x:c r="U9" s="103" t="str">
        <x:v>●</x:v>
      </x:c>
      <x:c r="V9" s="103" t="str">
        <x:v>●</x:v>
      </x:c>
      <x:c r="W9" s="103" t="str">
        <x:v>●</x:v>
      </x:c>
    </x:row>
    <x:row r="10" ht="64" hidden="0" customHeight="1">
      <x:c r="A10" s="113" t="str">
        <x:v>2.1</x:v>
      </x:c>
      <x:c r="B10" s="113" t="str">
        <x:v>데이터·전처리</x:v>
      </x:c>
      <x:c r="C10" s="114" t="str">
        <x:v>TRAIN_01+02 및 Validation 사용 범위 확정</x:v>
      </x:c>
      <x:c r="D10" s="113" t="str">
        <x:v>정준영(주) / 김범영(전처리 보조) / 오석(조율)</x:v>
      </x:c>
      <x:c r="E10" s="115" t="n">
        <x:v>46274</x:v>
      </x:c>
      <x:c r="F10" s="115" t="n">
        <x:v>46274</x:v>
      </x:c>
      <x:c r="G10" s="113" t="n">
        <x:v>1</x:v>
      </x:c>
      <x:c r="H10" s="110" t="str">
        <x:v>완료</x:v>
      </x:c>
      <x:c r="I10" s="116" t="str">
        <x:v>Train 223,578 / Valid 52,126 / 김범영: 데이터 축소·전처리 보조 참여 / 오석: 팀 진행 조율</x:v>
      </x:c>
      <x:c r="J10" s="98"/>
      <x:c r="K10" s="98"/>
      <x:c r="L10" s="98"/>
      <x:c r="M10" s="98"/>
      <x:c r="N10" s="98"/>
      <x:c r="O10" s="103" t="str">
        <x:v>●</x:v>
      </x:c>
      <x:c r="P10" s="98"/>
      <x:c r="Q10" s="98"/>
      <x:c r="R10" s="98"/>
      <x:c r="S10" s="98"/>
      <x:c r="T10" s="98"/>
      <x:c r="U10" s="98"/>
      <x:c r="V10" s="98"/>
      <x:c r="W10" s="98"/>
    </x:row>
    <x:row r="11" ht="64" hidden="0" customHeight="1">
      <x:c r="A11" s="113" t="str">
        <x:v>2.2</x:v>
      </x:c>
      <x:c r="B11" s="113" t="str">
        <x:v>데이터·전처리</x:v>
      </x:c>
      <x:c r="C11" s="114" t="str">
        <x:v>이미지-라벨 연결 및 데이터 품질·구조 검증</x:v>
      </x:c>
      <x:c r="D11" s="113" t="str">
        <x:v>정준영(주) / 김범영(전처리 보조) / 오석(조율)</x:v>
      </x:c>
      <x:c r="E11" s="115" t="n">
        <x:v>46274</x:v>
      </x:c>
      <x:c r="F11" s="115" t="n">
        <x:v>46275</x:v>
      </x:c>
      <x:c r="G11" s="113" t="n">
        <x:v>2</x:v>
      </x:c>
      <x:c r="H11" s="110" t="str">
        <x:v>완료</x:v>
      </x:c>
      <x:c r="I11" s="116" t="str">
        <x:v>이미지-라벨 1:1 연결·품질 점검 / 김범영 전처리 보조 / 오석 진행 조율</x:v>
      </x:c>
      <x:c r="J11" s="98"/>
      <x:c r="K11" s="98"/>
      <x:c r="L11" s="98"/>
      <x:c r="M11" s="98"/>
      <x:c r="N11" s="98"/>
      <x:c r="O11" s="103" t="str">
        <x:v>●</x:v>
      </x:c>
      <x:c r="P11" s="103" t="str">
        <x:v>●</x:v>
      </x:c>
      <x:c r="Q11" s="98"/>
      <x:c r="R11" s="98"/>
      <x:c r="S11" s="98"/>
      <x:c r="T11" s="98"/>
      <x:c r="U11" s="98"/>
      <x:c r="V11" s="98"/>
      <x:c r="W11" s="98"/>
    </x:row>
    <x:row r="12" ht="64" hidden="0" customHeight="1">
      <x:c r="A12" s="113" t="str">
        <x:v>2.3</x:v>
      </x:c>
      <x:c r="B12" s="113" t="str">
        <x:v>데이터·전처리</x:v>
      </x:c>
      <x:c r="C12" s="114" t="str">
        <x:v>224×224 grayscale·RGB 컬러 전처리 및 학습 데이터 구성</x:v>
      </x:c>
      <x:c r="D12" s="113" t="str">
        <x:v>정준영(주) / 김범영(전처리 보조) / 오석(조율)</x:v>
      </x:c>
      <x:c r="E12" s="115" t="n">
        <x:v>46274</x:v>
      </x:c>
      <x:c r="F12" s="115" t="n">
        <x:v>46275</x:v>
      </x:c>
      <x:c r="G12" s="113" t="n">
        <x:v>2</x:v>
      </x:c>
      <x:c r="H12" s="110" t="str">
        <x:v>완료</x:v>
      </x:c>
      <x:c r="I12" s="116" t="str">
        <x:v>224×224 grayscale·RGB 전처리 / 김범영 흑백 전처리·성능 비교 보조 / 오석 일정·방향 조율</x:v>
      </x:c>
      <x:c r="J12" s="98"/>
      <x:c r="K12" s="98"/>
      <x:c r="L12" s="98"/>
      <x:c r="M12" s="98"/>
      <x:c r="N12" s="98"/>
      <x:c r="O12" s="103" t="str">
        <x:v>●</x:v>
      </x:c>
      <x:c r="P12" s="103" t="str">
        <x:v>●</x:v>
      </x:c>
      <x:c r="Q12" s="98"/>
      <x:c r="R12" s="98"/>
      <x:c r="S12" s="98"/>
      <x:c r="T12" s="98"/>
      <x:c r="U12" s="98"/>
      <x:c r="V12" s="98"/>
      <x:c r="W12" s="98"/>
    </x:row>
    <x:row r="13" ht="64" hidden="0" customHeight="1">
      <x:c r="A13" s="113" t="str">
        <x:v>2.4</x:v>
      </x:c>
      <x:c r="B13" s="113" t="str">
        <x:v>데이터·전처리</x:v>
      </x:c>
      <x:c r="C13" s="114" t="str">
        <x:v>손상 이미지·EXIF 방향 등 전처리 품질 보정</x:v>
      </x:c>
      <x:c r="D13" s="113" t="str">
        <x:v>정준영(주) / 김범영(전처리 보조) / 오석(조율)</x:v>
      </x:c>
      <x:c r="E13" s="115" t="n">
        <x:v>46275</x:v>
      </x:c>
      <x:c r="F13" s="115" t="n">
        <x:v>46275</x:v>
      </x:c>
      <x:c r="G13" s="113" t="n">
        <x:v>1</x:v>
      </x:c>
      <x:c r="H13" s="110" t="str">
        <x:v>완료</x:v>
      </x:c>
      <x:c r="I13" s="116" t="str">
        <x:v>손상 의심 16개 제외·EXIF 보정 / 전처리 협업 및 팀장 진행 조율</x:v>
      </x:c>
      <x:c r="J13" s="98"/>
      <x:c r="K13" s="98"/>
      <x:c r="L13" s="98"/>
      <x:c r="M13" s="98"/>
      <x:c r="N13" s="98"/>
      <x:c r="O13" s="98"/>
      <x:c r="P13" s="103" t="str">
        <x:v>●</x:v>
      </x:c>
      <x:c r="Q13" s="98"/>
      <x:c r="R13" s="98"/>
      <x:c r="S13" s="98"/>
      <x:c r="T13" s="98"/>
      <x:c r="U13" s="98"/>
      <x:c r="V13" s="98"/>
      <x:c r="W13" s="98"/>
    </x:row>
    <x:row r="14" ht="64" hidden="0" customHeight="1">
      <x:c r="A14" s="113" t="str">
        <x:v>2.5</x:v>
      </x:c>
      <x:c r="B14" s="113" t="str">
        <x:v>데이터·전처리</x:v>
      </x:c>
      <x:c r="C14" s="114" t="str">
        <x:v>전처리 결과 확인 및 grayscale/RGB 비교 준비</x:v>
      </x:c>
      <x:c r="D14" s="113" t="str">
        <x:v>정준영·김범영(전처리 협업) / 오석(조율)</x:v>
      </x:c>
      <x:c r="E14" s="115" t="n">
        <x:v>46275</x:v>
      </x:c>
      <x:c r="F14" s="115" t="n">
        <x:v>46275</x:v>
      </x:c>
      <x:c r="G14" s="113" t="n">
        <x:v>1</x:v>
      </x:c>
      <x:c r="H14" s="110" t="str">
        <x:v>완료</x:v>
      </x:c>
      <x:c r="I14" s="116" t="str">
        <x:v>모델 입력 데이터 검증 / 정준영·김범영 전처리 협업 / 오석 전체 조율</x:v>
      </x:c>
      <x:c r="J14" s="98"/>
      <x:c r="K14" s="98"/>
      <x:c r="L14" s="98"/>
      <x:c r="M14" s="98"/>
      <x:c r="N14" s="98"/>
      <x:c r="O14" s="98"/>
      <x:c r="P14" s="103" t="str">
        <x:v>●</x:v>
      </x:c>
      <x:c r="Q14" s="98"/>
      <x:c r="R14" s="98"/>
      <x:c r="S14" s="98"/>
      <x:c r="T14" s="98"/>
      <x:c r="U14" s="98"/>
      <x:c r="V14" s="98"/>
      <x:c r="W14" s="98"/>
    </x:row>
    <x:row r="15" ht="64" hidden="0" customHeight="1">
      <x:c r="A15" s="117" t="str">
        <x:v>3.1</x:v>
      </x:c>
      <x:c r="B15" s="117" t="str">
        <x:v>모델 학습</x:v>
      </x:c>
      <x:c r="C15" s="118" t="str">
        <x:v>MobileNetV2·MobileNetV3 Small·EfficientNetB0 1 Epoch 사전 비교</x:v>
      </x:c>
      <x:c r="D15" s="117" t="str">
        <x:v>정준영·김범영(실험 협업) / 오석(선정 조율)</x:v>
      </x:c>
      <x:c r="E15" s="119" t="n">
        <x:v>46275</x:v>
      </x:c>
      <x:c r="F15" s="119" t="n">
        <x:v>46275</x:v>
      </x:c>
      <x:c r="G15" s="117" t="n">
        <x:v>1</x:v>
      </x:c>
      <x:c r="H15" s="110" t="str">
        <x:v>완료</x:v>
      </x:c>
      <x:c r="I15" s="120" t="str">
        <x:v>사전 비교 실험 후 본학습 후보 3종 확정 / 오석 팀장이 모델 선정·진행 방향 조율</x:v>
      </x:c>
      <x:c r="J15" s="98"/>
      <x:c r="K15" s="98"/>
      <x:c r="L15" s="98"/>
      <x:c r="M15" s="98"/>
      <x:c r="N15" s="98"/>
      <x:c r="O15" s="98"/>
      <x:c r="P15" s="103" t="str">
        <x:v>●</x:v>
      </x:c>
      <x:c r="Q15" s="98"/>
      <x:c r="R15" s="98"/>
      <x:c r="S15" s="98"/>
      <x:c r="T15" s="98"/>
      <x:c r="U15" s="98"/>
      <x:c r="V15" s="98"/>
      <x:c r="W15" s="98"/>
    </x:row>
    <x:row r="16" ht="54" hidden="0" customHeight="1">
      <x:c r="A16" s="117" t="str">
        <x:v>3.2</x:v>
      </x:c>
      <x:c r="B16" s="117" t="str">
        <x:v>모델 학습</x:v>
      </x:c>
      <x:c r="C16" s="118" t="str">
        <x:v>TensorFlow GPU 미인식 대응 및 PyTorch 2.5.1+cu121 전환</x:v>
      </x:c>
      <x:c r="D16" s="117" t="str">
        <x:v>정준영(환경 전환) / 오석(진행 조율)</x:v>
      </x:c>
      <x:c r="E16" s="119" t="n">
        <x:v>46276</x:v>
      </x:c>
      <x:c r="F16" s="119" t="n">
        <x:v>46276</x:v>
      </x:c>
      <x:c r="G16" s="117" t="n">
        <x:v>1</x:v>
      </x:c>
      <x:c r="H16" s="110" t="str">
        <x:v>완료</x:v>
      </x:c>
      <x:c r="I16" s="120" t="str">
        <x:v>RTX 4060 활용 가능한 PyTorch 환경 / 일지 09.11</x:v>
      </x:c>
      <x:c r="J16" s="98"/>
      <x:c r="K16" s="98"/>
      <x:c r="L16" s="98"/>
      <x:c r="M16" s="98"/>
      <x:c r="N16" s="98"/>
      <x:c r="O16" s="98"/>
      <x:c r="P16" s="98"/>
      <x:c r="Q16" s="103" t="str">
        <x:v>●</x:v>
      </x:c>
      <x:c r="R16" s="98"/>
      <x:c r="S16" s="98"/>
      <x:c r="T16" s="98"/>
      <x:c r="U16" s="98"/>
      <x:c r="V16" s="98"/>
      <x:c r="W16" s="98"/>
    </x:row>
    <x:row r="17" ht="54" hidden="0" customHeight="1">
      <x:c r="A17" s="117" t="str">
        <x:v>3.3</x:v>
      </x:c>
      <x:c r="B17" s="117" t="str">
        <x:v>모델 학습</x:v>
      </x:c>
      <x:c r="C17" s="118" t="str">
        <x:v>사전학습 가중치 없이 처음부터 학습 및 약 14% 정체 원인 점검</x:v>
      </x:c>
      <x:c r="D17" s="117" t="str">
        <x:v>정준영(학습 점검) / 오석(진행 조율)</x:v>
      </x:c>
      <x:c r="E17" s="119" t="n">
        <x:v>46276</x:v>
      </x:c>
      <x:c r="F17" s="119" t="n">
        <x:v>46277</x:v>
      </x:c>
      <x:c r="G17" s="117" t="n">
        <x:v>2</x:v>
      </x:c>
      <x:c r="H17" s="110" t="str">
        <x:v>완료</x:v>
      </x:c>
      <x:c r="I17" s="120" t="str">
        <x:v>초기 학습 정확도 약 14% 정체 / 데이터·코드 연결 이상 없음 확인</x:v>
      </x:c>
      <x:c r="J17" s="98"/>
      <x:c r="K17" s="98"/>
      <x:c r="L17" s="98"/>
      <x:c r="M17" s="98"/>
      <x:c r="N17" s="98"/>
      <x:c r="O17" s="98"/>
      <x:c r="P17" s="98"/>
      <x:c r="Q17" s="103" t="str">
        <x:v>●</x:v>
      </x:c>
      <x:c r="R17" s="103" t="str">
        <x:v>●</x:v>
      </x:c>
      <x:c r="S17" s="98"/>
      <x:c r="T17" s="98"/>
      <x:c r="U17" s="98"/>
      <x:c r="V17" s="98"/>
      <x:c r="W17" s="98"/>
    </x:row>
    <x:row r="18" ht="54" hidden="0" customHeight="1">
      <x:c r="A18" s="117" t="str">
        <x:v>3.4</x:v>
      </x:c>
      <x:c r="B18" s="117" t="str">
        <x:v>모델 학습</x:v>
      </x:c>
      <x:c r="C18" s="118" t="str">
        <x:v>ImageNet 사전학습 가중치 적용 후 2차 학습</x:v>
      </x:c>
      <x:c r="D18" s="117" t="str">
        <x:v>정준영(학습) / 오석(진행 조율)</x:v>
      </x:c>
      <x:c r="E18" s="119" t="n">
        <x:v>46277</x:v>
      </x:c>
      <x:c r="F18" s="119" t="n">
        <x:v>46278</x:v>
      </x:c>
      <x:c r="G18" s="117" t="n">
        <x:v>2</x:v>
      </x:c>
      <x:c r="H18" s="110" t="str">
        <x:v>완료</x:v>
      </x:c>
      <x:c r="I18" s="120" t="str">
        <x:v>사전학습 가중치를 적용해 세 모델 2차 학습 진행 / 09.12~13</x:v>
      </x:c>
      <x:c r="J18" s="98"/>
      <x:c r="K18" s="98"/>
      <x:c r="L18" s="98"/>
      <x:c r="M18" s="98"/>
      <x:c r="N18" s="98"/>
      <x:c r="O18" s="98"/>
      <x:c r="P18" s="98"/>
      <x:c r="Q18" s="98"/>
      <x:c r="R18" s="103" t="str">
        <x:v>●</x:v>
      </x:c>
      <x:c r="S18" s="103" t="str">
        <x:v>●</x:v>
      </x:c>
      <x:c r="T18" s="98"/>
      <x:c r="U18" s="98"/>
      <x:c r="V18" s="98"/>
      <x:c r="W18" s="98"/>
    </x:row>
    <x:row r="19" ht="54" hidden="0" customHeight="1">
      <x:c r="A19" s="117" t="str">
        <x:v>3.5</x:v>
      </x:c>
      <x:c r="B19" s="117" t="str">
        <x:v>모델 학습</x:v>
      </x:c>
      <x:c r="C19" s="118" t="str">
        <x:v>Best Loss / Best Accuracy 체크포인트 저장</x:v>
      </x:c>
      <x:c r="D19" s="117" t="str">
        <x:v>정준영(모델 저장) / 오석(활용 조율)</x:v>
      </x:c>
      <x:c r="E19" s="119" t="n">
        <x:v>46278</x:v>
      </x:c>
      <x:c r="F19" s="119" t="n">
        <x:v>46278</x:v>
      </x:c>
      <x:c r="G19" s="117" t="n">
        <x:v>1</x:v>
      </x:c>
      <x:c r="H19" s="110" t="str">
        <x:v>완료</x:v>
      </x:c>
      <x:c r="I19" s="120" t="str">
        <x:v>모델별 Best 체크포인트 / 일지 09.13</x:v>
      </x:c>
      <x:c r="J19" s="98"/>
      <x:c r="K19" s="98"/>
      <x:c r="L19" s="98"/>
      <x:c r="M19" s="98"/>
      <x:c r="N19" s="98"/>
      <x:c r="O19" s="98"/>
      <x:c r="P19" s="98"/>
      <x:c r="Q19" s="98"/>
      <x:c r="R19" s="98"/>
      <x:c r="S19" s="103" t="str">
        <x:v>●</x:v>
      </x:c>
      <x:c r="T19" s="98"/>
      <x:c r="U19" s="98"/>
      <x:c r="V19" s="98"/>
      <x:c r="W19" s="98"/>
    </x:row>
    <x:row r="20" ht="54" hidden="0" customHeight="1">
      <x:c r="A20" s="117" t="str">
        <x:v>3.6</x:v>
      </x:c>
      <x:c r="B20" s="117" t="str">
        <x:v>모델 학습</x:v>
      </x:c>
      <x:c r="C20" s="118" t="str">
        <x:v>2차 Best 모델 기반 학습률 조정 3차 추가 학습</x:v>
      </x:c>
      <x:c r="D20" s="117" t="str">
        <x:v>정준영(3차 실험) / 오석(진행 조율)</x:v>
      </x:c>
      <x:c r="E20" s="119" t="n">
        <x:v>46279</x:v>
      </x:c>
      <x:c r="F20" s="119" t="n">
        <x:v>46279</x:v>
      </x:c>
      <x:c r="G20" s="117" t="n">
        <x:v>1</x:v>
      </x:c>
      <x:c r="H20" s="110" t="str">
        <x:v>완료</x:v>
      </x:c>
      <x:c r="I20" s="120" t="str">
        <x:v>2차 학습 Best 모델에서 학습률을 낮춰 추가 학습 진행 / 3차 실험 기록</x:v>
      </x:c>
      <x:c r="J20" s="98"/>
      <x:c r="K20" s="98"/>
      <x:c r="L20" s="98"/>
      <x:c r="M20" s="98"/>
      <x:c r="N20" s="98"/>
      <x:c r="O20" s="98"/>
      <x:c r="P20" s="98"/>
      <x:c r="Q20" s="98"/>
      <x:c r="R20" s="98"/>
      <x:c r="S20" s="98"/>
      <x:c r="T20" s="103" t="str">
        <x:v>●</x:v>
      </x:c>
      <x:c r="U20" s="98"/>
      <x:c r="V20" s="98"/>
      <x:c r="W20" s="98"/>
    </x:row>
    <x:row r="21" ht="54" hidden="0" customHeight="1">
      <x:c r="A21" s="117" t="str">
        <x:v>3.7</x:v>
      </x:c>
      <x:c r="B21" s="117" t="str">
        <x:v>모델 학습</x:v>
      </x:c>
      <x:c r="C21" s="118" t="str">
        <x:v>3차 학습 과적합 확인 및 2차 Best 모델 사용 결정</x:v>
      </x:c>
      <x:c r="D21" s="117" t="str">
        <x:v>정준영(결과 확인) / 오석(강사 피드백 반영 조율)</x:v>
      </x:c>
      <x:c r="E21" s="119" t="n">
        <x:v>46280</x:v>
      </x:c>
      <x:c r="F21" s="119" t="n">
        <x:v>46281</x:v>
      </x:c>
      <x:c r="G21" s="117" t="n">
        <x:v>2</x:v>
      </x:c>
      <x:c r="H21" s="175" t="str">
        <x:v>완료</x:v>
      </x:c>
      <x:c r="I21" s="120" t="str">
        <x:v>3차 추가 학습에서 과적합 확인 / 강사 피드백에 따라 3차 결과는 사용하지 않고 2차 학습 Best 모델 사용</x:v>
      </x:c>
      <x:c r="J21" s="98"/>
      <x:c r="K21" s="98"/>
      <x:c r="L21" s="98"/>
      <x:c r="M21" s="98"/>
      <x:c r="N21" s="98"/>
      <x:c r="O21" s="98"/>
      <x:c r="P21" s="98"/>
      <x:c r="Q21" s="98"/>
      <x:c r="R21" s="98"/>
      <x:c r="S21" s="98"/>
      <x:c r="T21" s="98"/>
      <x:c r="U21" s="103" t="str">
        <x:v>●</x:v>
      </x:c>
      <x:c r="V21" s="103" t="str">
        <x:v>●</x:v>
      </x:c>
      <x:c r="W21" s="98"/>
    </x:row>
    <x:row r="22" ht="64" hidden="0" customHeight="1">
      <x:c r="A22" s="117" t="str">
        <x:v>3.8</x:v>
      </x:c>
      <x:c r="B22" s="117" t="str">
        <x:v>모델 학습</x:v>
      </x:c>
      <x:c r="C22" s="118" t="str">
        <x:v>Jetson 피드백 반영 RGB 컬러 추가 학습 및 흑백 모델과 비교</x:v>
      </x:c>
      <x:c r="D22" s="117" t="str">
        <x:v>정준영(주) / 김범영(학습 보조) / 오석(앱 피드백·조율)</x:v>
      </x:c>
      <x:c r="E22" s="119" t="n">
        <x:v>46280</x:v>
      </x:c>
      <x:c r="F22" s="119" t="n">
        <x:v>46281</x:v>
      </x:c>
      <x:c r="G22" s="117" t="n">
        <x:v>2</x:v>
      </x:c>
      <x:c r="H22" s="112" t="str">
        <x:v>진행중</x:v>
      </x:c>
      <x:c r="I22" s="120" t="str">
        <x:v>흑백 2차 Best 모델과 RGB 학습 결과 비교 / 김범영 학습 보조 / 오석 앱 피드백·연계 조율</x:v>
      </x:c>
      <x:c r="J22" s="98"/>
      <x:c r="K22" s="98"/>
      <x:c r="L22" s="98"/>
      <x:c r="M22" s="98"/>
      <x:c r="N22" s="98"/>
      <x:c r="O22" s="98"/>
      <x:c r="P22" s="98"/>
      <x:c r="Q22" s="98"/>
      <x:c r="R22" s="98"/>
      <x:c r="S22" s="98"/>
      <x:c r="T22" s="98"/>
      <x:c r="U22" s="103" t="str">
        <x:v>●</x:v>
      </x:c>
      <x:c r="V22" s="103" t="str">
        <x:v>●</x:v>
      </x:c>
      <x:c r="W22" s="98"/>
    </x:row>
    <x:row r="23" ht="54" hidden="0" customHeight="1">
      <x:c r="A23" s="121" t="str">
        <x:v>4.1</x:v>
      </x:c>
      <x:c r="B23" s="121" t="str">
        <x:v>앱·Jetson</x:v>
      </x:c>
      <x:c r="C23" s="122" t="str">
        <x:v>OpenCV 얼굴 검출 및 모델 연결 조건 정리</x:v>
      </x:c>
      <x:c r="D23" s="121" t="str">
        <x:v>오석(팀장·총괄)</x:v>
      </x:c>
      <x:c r="E23" s="123" t="n">
        <x:v>46279</x:v>
      </x:c>
      <x:c r="F23" s="123" t="n">
        <x:v>46281</x:v>
      </x:c>
      <x:c r="G23" s="121" t="n">
        <x:v>3</x:v>
      </x:c>
      <x:c r="H23" s="112" t="str">
        <x:v>진행중</x:v>
      </x:c>
      <x:c r="I23" s="124" t="str">
        <x:v>앱 적용 조건 정리 / OpenCV/Jetson 담당</x:v>
      </x:c>
      <x:c r="J23" s="98"/>
      <x:c r="K23" s="98"/>
      <x:c r="L23" s="98"/>
      <x:c r="M23" s="98"/>
      <x:c r="N23" s="98"/>
      <x:c r="O23" s="98"/>
      <x:c r="P23" s="98"/>
      <x:c r="Q23" s="98"/>
      <x:c r="R23" s="98"/>
      <x:c r="S23" s="98"/>
      <x:c r="T23" s="103" t="str">
        <x:v>●</x:v>
      </x:c>
      <x:c r="U23" s="103" t="str">
        <x:v>●</x:v>
      </x:c>
      <x:c r="V23" s="103" t="str">
        <x:v>●</x:v>
      </x:c>
      <x:c r="W23" s="98"/>
    </x:row>
    <x:row r="24" ht="54" hidden="0" customHeight="1">
      <x:c r="A24" s="121" t="str">
        <x:v>4.2</x:v>
      </x:c>
      <x:c r="B24" s="121" t="str">
        <x:v>앱·Jetson</x:v>
      </x:c>
      <x:c r="C24" s="122" t="str">
        <x:v>Jetson Orin Nano 실시간 다중 얼굴 감정 인식 구현</x:v>
      </x:c>
      <x:c r="D24" s="121" t="str">
        <x:v>오석(팀장·구현)</x:v>
      </x:c>
      <x:c r="E24" s="123" t="n">
        <x:v>46279</x:v>
      </x:c>
      <x:c r="F24" s="123" t="n">
        <x:v>46282</x:v>
      </x:c>
      <x:c r="G24" s="121" t="n">
        <x:v>4</x:v>
      </x:c>
      <x:c r="H24" s="112" t="str">
        <x:v>진행중</x:v>
      </x:c>
      <x:c r="I24" s="124" t="str">
        <x:v>Jetson 실시간 시연 앱 / 3개 모델 전환 구조</x:v>
      </x:c>
      <x:c r="J24" s="98"/>
      <x:c r="K24" s="98"/>
      <x:c r="L24" s="98"/>
      <x:c r="M24" s="98"/>
      <x:c r="N24" s="98"/>
      <x:c r="O24" s="98"/>
      <x:c r="P24" s="98"/>
      <x:c r="Q24" s="98"/>
      <x:c r="R24" s="98"/>
      <x:c r="S24" s="98"/>
      <x:c r="T24" s="103" t="str">
        <x:v>●</x:v>
      </x:c>
      <x:c r="U24" s="103" t="str">
        <x:v>●</x:v>
      </x:c>
      <x:c r="V24" s="103" t="str">
        <x:v>●</x:v>
      </x:c>
      <x:c r="W24" s="103" t="str">
        <x:v>●</x:v>
      </x:c>
    </x:row>
    <x:row r="25" ht="54" hidden="0" customHeight="1">
      <x:c r="A25" s="121" t="str">
        <x:v>4.3</x:v>
      </x:c>
      <x:c r="B25" s="121" t="str">
        <x:v>앱·Jetson</x:v>
      </x:c>
      <x:c r="C25" s="122" t="str">
        <x:v>Jetson 카메라 테스트 및 grayscale 모델 피드백 확인</x:v>
      </x:c>
      <x:c r="D25" s="121" t="str">
        <x:v>오석(팀장) / 팀 전원(테스트 확인)</x:v>
      </x:c>
      <x:c r="E25" s="123" t="n">
        <x:v>46280</x:v>
      </x:c>
      <x:c r="F25" s="123" t="n">
        <x:v>46280</x:v>
      </x:c>
      <x:c r="G25" s="121" t="n">
        <x:v>1</x:v>
      </x:c>
      <x:c r="H25" s="110" t="str">
        <x:v>완료</x:v>
      </x:c>
      <x:c r="I25" s="124" t="str">
        <x:v>grayscale 인식 성능 부족 확인 / 멘토 피드백 09.15</x:v>
      </x:c>
      <x:c r="J25" s="98"/>
      <x:c r="K25" s="98"/>
      <x:c r="L25" s="98"/>
      <x:c r="M25" s="98"/>
      <x:c r="N25" s="98"/>
      <x:c r="O25" s="98"/>
      <x:c r="P25" s="98"/>
      <x:c r="Q25" s="98"/>
      <x:c r="R25" s="98"/>
      <x:c r="S25" s="98"/>
      <x:c r="T25" s="98"/>
      <x:c r="U25" s="103" t="str">
        <x:v>●</x:v>
      </x:c>
      <x:c r="V25" s="98"/>
      <x:c r="W25" s="98"/>
    </x:row>
    <x:row r="26" ht="54" hidden="0" customHeight="1">
      <x:c r="A26" s="121" t="str">
        <x:v>4.4</x:v>
      </x:c>
      <x:c r="B26" s="121" t="str">
        <x:v>앱·Jetson</x:v>
      </x:c>
      <x:c r="C26" s="122" t="str">
        <x:v>앱 오탐지 방지 개선 및 카메라 재검증</x:v>
      </x:c>
      <x:c r="D26" s="121" t="str">
        <x:v>오석(팀장·개선)</x:v>
      </x:c>
      <x:c r="E26" s="123" t="n">
        <x:v>46280</x:v>
      </x:c>
      <x:c r="F26" s="123" t="n">
        <x:v>46281</x:v>
      </x:c>
      <x:c r="G26" s="121" t="n">
        <x:v>2</x:v>
      </x:c>
      <x:c r="H26" s="110" t="str">
        <x:v>완료</x:v>
      </x:c>
      <x:c r="I26" s="124" t="str">
        <x:v>minNeighbors·minSize·비율·Texture 조건 개선 / 팀장 수정 일지 5번 항목</x:v>
      </x:c>
      <x:c r="J26" s="98"/>
      <x:c r="K26" s="98"/>
      <x:c r="L26" s="98"/>
      <x:c r="M26" s="98"/>
      <x:c r="N26" s="98"/>
      <x:c r="O26" s="98"/>
      <x:c r="P26" s="98"/>
      <x:c r="Q26" s="98"/>
      <x:c r="R26" s="98"/>
      <x:c r="S26" s="98"/>
      <x:c r="T26" s="98"/>
      <x:c r="U26" s="103" t="str">
        <x:v>●</x:v>
      </x:c>
      <x:c r="V26" s="103" t="str">
        <x:v>●</x:v>
      </x:c>
      <x:c r="W26" s="98"/>
    </x:row>
    <x:row r="27" ht="54" hidden="0" customHeight="1">
      <x:c r="A27" s="121" t="str">
        <x:v>4.5</x:v>
      </x:c>
      <x:c r="B27" s="121" t="str">
        <x:v>앱·Jetson</x:v>
      </x:c>
      <x:c r="C27" s="122" t="str">
        <x:v>흑백 2차 Best 모델과 RGB 결과 비교 후 앱 적용 모델 공유</x:v>
      </x:c>
      <x:c r="D27" s="121" t="str">
        <x:v>정준영(모델 공유) / 오석(앱 연계·조율)</x:v>
      </x:c>
      <x:c r="E27" s="123" t="n">
        <x:v>46281</x:v>
      </x:c>
      <x:c r="F27" s="123" t="n">
        <x:v>46282</x:v>
      </x:c>
      <x:c r="G27" s="121" t="n">
        <x:v>2</x:v>
      </x:c>
      <x:c r="H27" s="125" t="str">
        <x:v>예정</x:v>
      </x:c>
      <x:c r="I27" s="124" t="str">
        <x:v>3차 학습 결과는 제외하고 2차 Best 모델·RGB 후보의 모델 파일과 생성 조건을 앱 담당자에게 공유</x:v>
      </x:c>
      <x:c r="J27" s="98"/>
      <x:c r="K27" s="98"/>
      <x:c r="L27" s="98"/>
      <x:c r="M27" s="98"/>
      <x:c r="N27" s="98"/>
      <x:c r="O27" s="98"/>
      <x:c r="P27" s="98"/>
      <x:c r="Q27" s="98"/>
      <x:c r="R27" s="98"/>
      <x:c r="S27" s="98"/>
      <x:c r="T27" s="98"/>
      <x:c r="U27" s="98"/>
      <x:c r="V27" s="103" t="str">
        <x:v>●</x:v>
      </x:c>
      <x:c r="W27" s="103" t="str">
        <x:v>●</x:v>
      </x:c>
    </x:row>
    <x:row r="28" ht="54" hidden="0" customHeight="1">
      <x:c r="A28" s="126" t="str">
        <x:v>5.1</x:v>
      </x:c>
      <x:c r="B28" s="126" t="str">
        <x:v>문서·산출물</x:v>
      </x:c>
      <x:c r="C28" s="127" t="str">
        <x:v>개별 모델 TEST 보고서 및 2차·3차 학습 결과 비교 정리</x:v>
      </x:c>
      <x:c r="D28" s="126" t="str">
        <x:v>정준영(보고서) / 오석·김범영(내용 확인)</x:v>
      </x:c>
      <x:c r="E28" s="128" t="n">
        <x:v>46279</x:v>
      </x:c>
      <x:c r="F28" s="128" t="n">
        <x:v>46281</x:v>
      </x:c>
      <x:c r="G28" s="126" t="n">
        <x:v>3</x:v>
      </x:c>
      <x:c r="H28" s="112" t="str">
        <x:v>진행중</x:v>
      </x:c>
      <x:c r="I28" s="129" t="str">
        <x:v>2차 Best 성능, 3차 과적합 발생, 강사 피드백에 따른 2차 Best 모델 사용 결정 내용을 보고서에 반영</x:v>
      </x:c>
      <x:c r="J28" s="98"/>
      <x:c r="K28" s="98"/>
      <x:c r="L28" s="98"/>
      <x:c r="M28" s="98"/>
      <x:c r="N28" s="98"/>
      <x:c r="O28" s="98"/>
      <x:c r="P28" s="98"/>
      <x:c r="Q28" s="98"/>
      <x:c r="R28" s="98"/>
      <x:c r="S28" s="98"/>
      <x:c r="T28" s="103" t="str">
        <x:v>●</x:v>
      </x:c>
      <x:c r="U28" s="103" t="str">
        <x:v>●</x:v>
      </x:c>
      <x:c r="V28" s="103" t="str">
        <x:v>●</x:v>
      </x:c>
      <x:c r="W28" s="98"/>
    </x:row>
    <x:row r="29" ht="54" hidden="0" customHeight="1">
      <x:c r="A29" s="126" t="str">
        <x:v>5.2</x:v>
      </x:c>
      <x:c r="B29" s="126" t="str">
        <x:v>문서·산출물</x:v>
      </x:c>
      <x:c r="C29" s="127" t="str">
        <x:v>GitHub Repository 최종 코드·결과물 중심 정리</x:v>
      </x:c>
      <x:c r="D29" s="126" t="str">
        <x:v>정준영(GitHub 정리) / 팀 전원(자료 공유)</x:v>
      </x:c>
      <x:c r="E29" s="128" t="n">
        <x:v>46280</x:v>
      </x:c>
      <x:c r="F29" s="128" t="n">
        <x:v>46282</x:v>
      </x:c>
      <x:c r="G29" s="126" t="n">
        <x:v>3</x:v>
      </x:c>
      <x:c r="H29" s="112" t="str">
        <x:v>진행중</x:v>
      </x:c>
      <x:c r="I29" s="129" t="str">
        <x:v>GitHub Repository / 대용량 데이터·모델 파일 제외</x:v>
      </x:c>
      <x:c r="J29" s="98"/>
      <x:c r="K29" s="98"/>
      <x:c r="L29" s="98"/>
      <x:c r="M29" s="98"/>
      <x:c r="N29" s="98"/>
      <x:c r="O29" s="98"/>
      <x:c r="P29" s="98"/>
      <x:c r="Q29" s="98"/>
      <x:c r="R29" s="98"/>
      <x:c r="S29" s="98"/>
      <x:c r="T29" s="98"/>
      <x:c r="U29" s="103" t="str">
        <x:v>●</x:v>
      </x:c>
      <x:c r="V29" s="103" t="str">
        <x:v>●</x:v>
      </x:c>
      <x:c r="W29" s="103" t="str">
        <x:v>●</x:v>
      </x:c>
    </x:row>
    <x:row r="30" ht="64" hidden="0" customHeight="1">
      <x:c r="A30" s="126" t="str">
        <x:v>5.3</x:v>
      </x:c>
      <x:c r="B30" s="126" t="str">
        <x:v>문서·산출물</x:v>
      </x:c>
      <x:c r="C30" s="127" t="str">
        <x:v>발표 PPT 제작 및 발표 준비</x:v>
      </x:c>
      <x:c r="D30" s="126" t="str">
        <x:v>김범영(PPT·발표) / 오석(전체 조율) / 정준영(자료 제공)</x:v>
      </x:c>
      <x:c r="E30" s="128" t="n">
        <x:v>46279</x:v>
      </x:c>
      <x:c r="F30" s="128" t="n">
        <x:v>46282</x:v>
      </x:c>
      <x:c r="G30" s="126" t="n">
        <x:v>4</x:v>
      </x:c>
      <x:c r="H30" s="112" t="str">
        <x:v>진행중</x:v>
      </x:c>
      <x:c r="I30" s="129" t="str">
        <x:v>발표 PPT / 김범영 발표 담당 / 오석 전체 발표·시연 흐름 조율</x:v>
      </x:c>
      <x:c r="J30" s="98"/>
      <x:c r="K30" s="98"/>
      <x:c r="L30" s="98"/>
      <x:c r="M30" s="98"/>
      <x:c r="N30" s="98"/>
      <x:c r="O30" s="98"/>
      <x:c r="P30" s="98"/>
      <x:c r="Q30" s="98"/>
      <x:c r="R30" s="98"/>
      <x:c r="S30" s="98"/>
      <x:c r="T30" s="103" t="str">
        <x:v>●</x:v>
      </x:c>
      <x:c r="U30" s="103" t="str">
        <x:v>●</x:v>
      </x:c>
      <x:c r="V30" s="103" t="str">
        <x:v>●</x:v>
      </x:c>
      <x:c r="W30" s="103" t="str">
        <x:v>●</x:v>
      </x:c>
    </x:row>
    <x:row r="31" ht="64" hidden="0" customHeight="1">
      <x:c r="A31" s="126" t="str">
        <x:v>5.4</x:v>
      </x:c>
      <x:c r="B31" s="126" t="str">
        <x:v>문서·산출물</x:v>
      </x:c>
      <x:c r="C31" s="127" t="str">
        <x:v>시연영상 촬영 및 최종 발표·시연 점검</x:v>
      </x:c>
      <x:c r="D31" s="126" t="str">
        <x:v>오석(시연 총괄) / 김범영(발표) / 정준영(모델·문서 지원)</x:v>
      </x:c>
      <x:c r="E31" s="128" t="n">
        <x:v>46281</x:v>
      </x:c>
      <x:c r="F31" s="128" t="n">
        <x:v>46282</x:v>
      </x:c>
      <x:c r="G31" s="126" t="n">
        <x:v>2</x:v>
      </x:c>
      <x:c r="H31" s="125" t="str">
        <x:v>예정</x:v>
      </x:c>
      <x:c r="I31" s="129" t="str">
        <x:v>시연영상·발표 점검 / 최종 산출물</x:v>
      </x:c>
      <x:c r="J31" s="98"/>
      <x:c r="K31" s="98"/>
      <x:c r="L31" s="98"/>
      <x:c r="M31" s="98"/>
      <x:c r="N31" s="98"/>
      <x:c r="O31" s="98"/>
      <x:c r="P31" s="98"/>
      <x:c r="Q31" s="98"/>
      <x:c r="R31" s="98"/>
      <x:c r="S31" s="98"/>
      <x:c r="T31" s="98"/>
      <x:c r="U31" s="98"/>
      <x:c r="V31" s="103" t="str">
        <x:v>●</x:v>
      </x:c>
      <x:c r="W31" s="103" t="str">
        <x:v>●</x:v>
      </x:c>
    </x:row>
    <x:row r="32" ht="54" hidden="0" customHeight="1">
      <x:c r="A32" s="126" t="str">
        <x:v>5.5</x:v>
      </x:c>
      <x:c r="B32" s="126" t="str">
        <x:v>문서·산출물</x:v>
      </x:c>
      <x:c r="C32" s="127" t="str">
        <x:v>결과보고서 및 최종 산출물 검수</x:v>
      </x:c>
      <x:c r="D32" s="126" t="str">
        <x:v>오석(최종 조율) / 팀 전원</x:v>
      </x:c>
      <x:c r="E32" s="128" t="n">
        <x:v>46281</x:v>
      </x:c>
      <x:c r="F32" s="128" t="n">
        <x:v>46282</x:v>
      </x:c>
      <x:c r="G32" s="126" t="n">
        <x:v>2</x:v>
      </x:c>
      <x:c r="H32" s="125" t="str">
        <x:v>예정</x:v>
      </x:c>
      <x:c r="I32" s="129" t="str">
        <x:v>결과보고서·최종 제출본 / 수행계획서/WBS/요구사항/일지 포함</x:v>
      </x:c>
      <x:c r="J32" s="98"/>
      <x:c r="K32" s="98"/>
      <x:c r="L32" s="98"/>
      <x:c r="M32" s="98"/>
      <x:c r="N32" s="98"/>
      <x:c r="O32" s="98"/>
      <x:c r="P32" s="98"/>
      <x:c r="Q32" s="98"/>
      <x:c r="R32" s="98"/>
      <x:c r="S32" s="98"/>
      <x:c r="T32" s="98"/>
      <x:c r="U32" s="98"/>
      <x:c r="V32" s="103" t="str">
        <x:v>●</x:v>
      </x:c>
      <x:c r="W32" s="103" t="str">
        <x:v>●</x:v>
      </x:c>
    </x:row>
  </x:sheetData>
  <x:mergeCells>
    <x:mergeCell ref="A1:W1"/>
    <x:mergeCell ref="A2:W2"/>
  </x:mergeCells>
  <x:dataValidations count="1">
    <x:dataValidation type="list" sqref="H5:H32">
      <x:formula1>"완료,진행중,예정,보류"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0" hidden="0" customWidth="1"/>
    <x:col min="3" max="3" width="3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</x:cols>
  <x:sheetData>
    <x:row r="1">
      <x:c r="A1" s="156" t="str">
        <x:v>감정인식 프로젝트 WBS 요약</x:v>
      </x:c>
      <x:c r="B1" s="156"/>
      <x:c r="C1" s="156"/>
      <x:c r="D1" s="156"/>
      <x:c r="E1" s="156"/>
      <x:c r="F1" s="156"/>
      <x:c r="G1" s="156"/>
      <x:c r="H1" s="156"/>
    </x:row>
    <x:row r="3">
      <x:c r="A3" s="22" t="str">
        <x:v>항목</x:v>
      </x:c>
      <x:c r="B3" s="22" t="str">
        <x:v>내용</x:v>
      </x:c>
      <x:c r="C3" s="22" t="str"/>
      <x:c r="D3" s="22" t="str">
        <x:v>전체 작업</x:v>
      </x:c>
      <x:c r="E3" s="22" t="str">
        <x:v>완료</x:v>
      </x:c>
      <x:c r="F3" s="22" t="str">
        <x:v>진행중</x:v>
      </x:c>
      <x:c r="G3" s="22" t="str">
        <x:v>예정</x:v>
      </x:c>
      <x:c r="H3" s="22" t="str">
        <x:v>진척률</x:v>
      </x:c>
    </x:row>
    <x:row r="4">
      <x:c r="A4" s="160" t="str">
        <x:v>프로젝트명</x:v>
      </x:c>
      <x:c r="B4" t="str">
        <x:v>얼굴 표정 기반 7개 감정 인식</x:v>
      </x:c>
      <x:c r="D4" t="n">
        <x:f>COUNTA(WBS!A5:A32)</x:f>
        <x:v>28</x:v>
      </x:c>
      <x:c r="E4" t="n">
        <x:f>COUNTIF(WBS!H5:H32,"완료")</x:f>
        <x:v>18</x:v>
      </x:c>
      <x:c r="F4" t="n">
        <x:f>COUNTIF(WBS!H5:H32,"진행중")</x:f>
        <x:v>7</x:v>
      </x:c>
      <x:c r="G4" t="n">
        <x:f>COUNTIF(WBS!H5:H32,"예정")</x:f>
        <x:v>3</x:v>
      </x:c>
      <x:c r="H4" s="162" t="n">
        <x:f>E4/D4</x:f>
        <x:v>0.6428571428571429</x:v>
      </x:c>
    </x:row>
    <x:row r="5">
      <x:c r="A5" s="160" t="str">
        <x:v>기간</x:v>
      </x:c>
      <x:c r="B5" t="str">
        <x:v>2026.09.04 ~ 2026.09.17</x:v>
      </x:c>
    </x:row>
    <x:row r="6">
      <x:c r="A6" s="160" t="str">
        <x:v>발표 예정</x:v>
      </x:c>
      <x:c r="B6" t="str">
        <x:v>2026.09.16 ~ 2026.09.17</x:v>
      </x:c>
    </x:row>
    <x:row r="7">
      <x:c r="A7" s="160" t="str">
        <x:v>대상 클래스</x:v>
      </x:c>
      <x:c r="B7" t="str">
        <x:v>기쁨, 당황, 분노, 불안, 상처, 슬픔, 중립</x:v>
      </x:c>
      <x:c r="D7" s="22" t="str">
        <x:v>대분류</x:v>
      </x:c>
      <x:c r="E7" s="22" t="str">
        <x:v>작업수</x:v>
      </x:c>
      <x:c r="F7" s="22" t="str">
        <x:v>완료수</x:v>
      </x:c>
    </x:row>
    <x:row r="8">
      <x:c r="D8" t="str">
        <x:v>기획·환경/문서</x:v>
      </x:c>
      <x:c r="E8" t="n">
        <x:v>5</x:v>
      </x:c>
      <x:c r="F8" t="n">
        <x:v>4</x:v>
      </x:c>
    </x:row>
    <x:row r="9">
      <x:c r="D9" t="str">
        <x:v>데이터·전처리</x:v>
      </x:c>
      <x:c r="E9" t="n">
        <x:v>5</x:v>
      </x:c>
      <x:c r="F9" t="n">
        <x:v>5</x:v>
      </x:c>
    </x:row>
    <x:row r="10">
      <x:c r="A10" s="166" t="str">
        <x:v>현재 기준 주요 변경사항 (2026.09.16)</x:v>
      </x:c>
      <x:c r="B10" s="166"/>
      <x:c r="D10" t="str">
        <x:v>모델 학습</x:v>
      </x:c>
      <x:c r="E10" t="n">
        <x:v>8</x:v>
      </x:c>
      <x:c r="F10" t="n">
        <x:v>6</x:v>
      </x:c>
    </x:row>
    <x:row r="11">
      <x:c r="A11" s="172" t="str">
        <x:v>• 공식 팀 회의 기록은 9월 4일부터 시작하며 9월 3일 논의는 비공식 사전 협의로 구분함.
• 오석 팀장은 프로젝트 전체 진행 방향·일정·모델 선정·Jetson/OpenCV 구현 및 최종 시연을 총괄 조율함.
• 정준영은 데이터 구조 확인, 전처리 주 작업, 모델 학습·결과 정리, 문서 및 GitHub 정리를 중심으로 수행함.
• 김범영은 데이터 축소·흑백 전처리·성능 비교 등 전처리 보조와 학습 보조를 수행하고, PPT 제작 및 발표를 담당함.
• 초기에는 사전학습 가중치 없이 처음부터 학습했으나 약 14%에서 정체되어 ImageNet 사전학습 가중치를 적용한 2차 학습으로 전환함.
• 2차 Best 모델에서 학습률을 낮춰 3차 추가 학습을 진행했으나 과적합이 발생하여, 강사 피드백에 따라 3차 결과는 최종 모델로 사용하지 않고 2차 Best 모델을 사용하기로 결정함.
• Jetson 앱에는 얼굴 검출 오탐지 방지(minNeighbors, minSize, 종횡비, Texture 조건) 개선을 반영함.</x:v>
      </x:c>
      <x:c r="B11" s="172"/>
      <x:c r="D11" t="str">
        <x:v>앱·Jetson</x:v>
      </x:c>
      <x:c r="E11" t="n">
        <x:v>5</x:v>
      </x:c>
      <x:c r="F11" t="n">
        <x:v>2</x:v>
      </x:c>
    </x:row>
    <x:row r="12">
      <x:c r="A12" s="172"/>
      <x:c r="B12" s="172"/>
      <x:c r="D12" t="str">
        <x:v>문서·산출물</x:v>
      </x:c>
      <x:c r="E12" t="n">
        <x:v>5</x:v>
      </x:c>
      <x:c r="F12" t="n">
        <x:v>0</x:v>
      </x:c>
    </x:row>
  </x:sheetData>
  <x:mergeCells>
    <x:mergeCell ref="A1:H1"/>
    <x:mergeCell ref="A10:B10"/>
    <x:mergeCell ref="A11:B12"/>
  </x:mergeCells>
  <x:pageMargins left="0.7" right="0.7" top="0.75" bottom="0.75" header="0.3" footer="0.3"/>
</x:worksheet>
</file>